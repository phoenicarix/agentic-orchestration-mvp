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b6385616fc4d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22ae9b2eaec4c44"/>
    <x:sheet xmlns:r="http://schemas.openxmlformats.org/officeDocument/2006/relationships" name="Phase Charter" sheetId="2" r:id="R5b00e3b7ed2c4ced"/>
    <x:sheet xmlns:r="http://schemas.openxmlformats.org/officeDocument/2006/relationships" name="Build Tracker" sheetId="3" r:id="R116f59c720a14d47"/>
    <x:sheet xmlns:r="http://schemas.openxmlformats.org/officeDocument/2006/relationships" name="Runbook" sheetId="4" r:id="R053f48259c4c4c18"/>
    <x:sheet xmlns:r="http://schemas.openxmlformats.org/officeDocument/2006/relationships" name="Config Register" sheetId="5" r:id="R28ac98ed3eca410b"/>
    <x:sheet xmlns:r="http://schemas.openxmlformats.org/officeDocument/2006/relationships" name="Validation Checklist" sheetId="6" r:id="Rc3dcd0f9fd3f4d56"/>
    <x:sheet xmlns:r="http://schemas.openxmlformats.org/officeDocument/2006/relationships" name="Decision Log" sheetId="7" r:id="Rb348582e105043e6"/>
    <x:sheet xmlns:r="http://schemas.openxmlformats.org/officeDocument/2006/relationships" name="Risk &amp; Issue Log" sheetId="8" r:id="R8a4bdf0353b44a2b"/>
    <x:sheet xmlns:r="http://schemas.openxmlformats.org/officeDocument/2006/relationships" name="Production Gap Log" sheetId="9" r:id="R4312d26d6c5244ff"/>
    <x:sheet xmlns:r="http://schemas.openxmlformats.org/officeDocument/2006/relationships" name="Security &amp; Controls" sheetId="10" r:id="R827cc80a5d8f48b1"/>
    <x:sheet xmlns:r="http://schemas.openxmlformats.org/officeDocument/2006/relationships" name="ALM &amp; Release" sheetId="11" r:id="R93fccb9703234347"/>
    <x:sheet xmlns:r="http://schemas.openxmlformats.org/officeDocument/2006/relationships" name="Test Data" sheetId="12" r:id="R6631e134b42043eb"/>
    <x:sheet xmlns:r="http://schemas.openxmlformats.org/officeDocument/2006/relationships" name="Journey Register" sheetId="13" r:id="Rbcd63d2c2e0c419a"/>
    <x:sheet xmlns:r="http://schemas.openxmlformats.org/officeDocument/2006/relationships" name="Email Asset Register" sheetId="14" r:id="R7f1ac01aa0f94d62"/>
    <x:sheet xmlns:r="http://schemas.openxmlformats.org/officeDocument/2006/relationships" name="Consent Matrix" sheetId="15" r:id="R4338d4fd31db4d87"/>
    <x:sheet xmlns:r="http://schemas.openxmlformats.org/officeDocument/2006/relationships" name="Source References" sheetId="16" r:id="R8014c791a0ec46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"/>
      <x:name val="Carlito"/>
    </x:font>
    <x:font>
      <x:i/>
      <x:sz val="11"/>
      <x:color rgb="334155"/>
      <x:name val="Carlito"/>
    </x:font>
    <x:font>
      <x:b/>
      <x:sz val="11"/>
      <x:color rgb="FFFFFF"/>
      <x:name val="Carlito"/>
    </x:font>
    <x:font>
      <x:b/>
      <x:sz val="11"/>
      <x:color rgb="0F172A"/>
      <x:name val="Carlito"/>
    </x:font>
    <x:font>
      <x:b/>
      <x:sz val="12"/>
      <x:color rgb="1D4ED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8FAFC"/>
      </x:patternFill>
    </x:fill>
    <x:fill>
      <x:patternFill patternType="solid">
        <x:fgColor rgb="0F766E"/>
      </x:patternFill>
    </x:fill>
    <x:fill>
      <x:patternFill patternType="solid">
        <x:fgColor rgb="F1F5F9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200" fontId="5" fillId="6" borderId="0" xfId="0" applyNumberFormat="1" applyFont="1" applyFill="1" applyBorder="1" applyAlignment="1">
      <x:alignment horizontal="center"/>
    </x:xf>
    <x:xf numFmtId="200" fontId="5" fillId="6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bc7f6e7b734a52" /><Relationship Type="http://schemas.openxmlformats.org/officeDocument/2006/relationships/theme" Target="/xl/theme/theme1.xml" Id="Rc2a80408a45c4472" /><Relationship Type="http://schemas.openxmlformats.org/officeDocument/2006/relationships/sharedStrings" Target="/xl/sharedStrings.xml" Id="R73f5d9beee844550" /><Relationship Type="http://schemas.openxmlformats.org/officeDocument/2006/relationships/worksheet" Target="/xl/worksheets/sheet1.xml" Id="R322ae9b2eaec4c44" /><Relationship Type="http://schemas.openxmlformats.org/officeDocument/2006/relationships/worksheet" Target="/xl/worksheets/sheet2.xml" Id="R5b00e3b7ed2c4ced" /><Relationship Type="http://schemas.openxmlformats.org/officeDocument/2006/relationships/worksheet" Target="/xl/worksheets/sheet3.xml" Id="R116f59c720a14d47" /><Relationship Type="http://schemas.openxmlformats.org/officeDocument/2006/relationships/worksheet" Target="/xl/worksheets/sheet4.xml" Id="R053f48259c4c4c18" /><Relationship Type="http://schemas.openxmlformats.org/officeDocument/2006/relationships/worksheet" Target="/xl/worksheets/sheet5.xml" Id="R28ac98ed3eca410b" /><Relationship Type="http://schemas.openxmlformats.org/officeDocument/2006/relationships/worksheet" Target="/xl/worksheets/sheet6.xml" Id="Rc3dcd0f9fd3f4d56" /><Relationship Type="http://schemas.openxmlformats.org/officeDocument/2006/relationships/worksheet" Target="/xl/worksheets/sheet7.xml" Id="Rb348582e105043e6" /><Relationship Type="http://schemas.openxmlformats.org/officeDocument/2006/relationships/worksheet" Target="/xl/worksheets/sheet8.xml" Id="R8a4bdf0353b44a2b" /><Relationship Type="http://schemas.openxmlformats.org/officeDocument/2006/relationships/worksheet" Target="/xl/worksheets/sheet9.xml" Id="R4312d26d6c5244ff" /><Relationship Type="http://schemas.openxmlformats.org/officeDocument/2006/relationships/worksheet" Target="/xl/worksheets/sheet10.xml" Id="R827cc80a5d8f48b1" /><Relationship Type="http://schemas.openxmlformats.org/officeDocument/2006/relationships/worksheet" Target="/xl/worksheets/sheet11.xml" Id="R93fccb9703234347" /><Relationship Type="http://schemas.openxmlformats.org/officeDocument/2006/relationships/worksheet" Target="/xl/worksheets/sheet12.xml" Id="R6631e134b42043eb" /><Relationship Type="http://schemas.openxmlformats.org/officeDocument/2006/relationships/worksheet" Target="/xl/worksheets/sheet13.xml" Id="Rbcd63d2c2e0c419a" /><Relationship Type="http://schemas.openxmlformats.org/officeDocument/2006/relationships/worksheet" Target="/xl/worksheets/sheet14.xml" Id="R7f1ac01aa0f94d62" /><Relationship Type="http://schemas.openxmlformats.org/officeDocument/2006/relationships/worksheet" Target="/xl/worksheets/sheet15.xml" Id="R4338d4fd31db4d87" /><Relationship Type="http://schemas.openxmlformats.org/officeDocument/2006/relationships/worksheet" Target="/xl/worksheets/sheet16.xml" Id="R8014c791a0ec460a" /></Relationships>
</file>

<file path=xl/tables/table1.xml><?xml version="1.0" encoding="utf-8"?>
<x:table xmlns:x="http://schemas.openxmlformats.org/spreadsheetml/2006/main" id="1" name="P3BuildTracker" displayName="P3BuildTracker" ref="A4:N21" headerRowCount="1">
  <x:tableColumns count="14">
    <x:tableColumn id="1" name="ID"/>
    <x:tableColumn id="2" name="Work item"/>
    <x:tableColumn id="3" name="Stream"/>
    <x:tableColumn id="4" name="Implementation instruction"/>
    <x:tableColumn id="5" name="Expected outcome"/>
    <x:tableColumn id="6" name="Owner role"/>
    <x:tableColumn id="7" name="Status"/>
    <x:tableColumn id="8" name="Priority"/>
    <x:tableColumn id="9" name="Start date"/>
    <x:tableColumn id="10" name="Target date"/>
    <x:tableColumn id="11" name="Completed date"/>
    <x:tableColumn id="12" name="Evidence / link"/>
    <x:tableColumn id="13" name="Validation result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3Runbook" displayName="P3Runbook" ref="A4:H21" headerRowCount="1">
  <x:tableColumns count="8">
    <x:tableColumn id="1" name="Step"/>
    <x:tableColumn id="2" name="Click path / action"/>
    <x:tableColumn id="3" name="Exact name or value"/>
    <x:tableColumn id="4" name="Configuration notes"/>
    <x:tableColumn id="5" name="Expected UI result"/>
    <x:tableColumn id="6" name="Common mistake to avoid"/>
    <x:tableColumn id="7" name="Status"/>
    <x:tableColumn id="8" name="Evidence"/>
  </x:tableColumns>
  <x:tableStyleInfo name="TableStyleMedium2" showRowStripes="1"/>
</x:table>
</file>

<file path=xl/tables/table3.xml><?xml version="1.0" encoding="utf-8"?>
<x:table xmlns:x="http://schemas.openxmlformats.org/spreadsheetml/2006/main" id="3" name="P3Config" displayName="P3Config" ref="A4:J10" headerRowCount="1">
  <x:tableColumns count="10">
    <x:tableColumn id="1" name="Type"/>
    <x:tableColumn id="2" name="Name / schema"/>
    <x:tableColumn id="3" name="Purpose / value"/>
    <x:tableColumn id="4" name="Required level"/>
    <x:tableColumn id="5" name="MVP note"/>
    <x:tableColumn id="6" name="Owner"/>
    <x:tableColumn id="7" name="Status"/>
    <x:tableColumn id="8" name="Environment"/>
    <x:tableColumn id="9" name="Actual value / ID"/>
    <x:tableColumn id="10" name="Evidence / link"/>
  </x:tableColumns>
  <x:tableStyleInfo name="TableStyleMedium2" showRowStripes="1"/>
</x:table>
</file>

<file path=xl/tables/table4.xml><?xml version="1.0" encoding="utf-8"?>
<x:table xmlns:x="http://schemas.openxmlformats.org/spreadsheetml/2006/main" id="4" name="P3Validation" displayName="P3Validation" ref="A4:H11" headerRowCount="1">
  <x:tableColumns count="8">
    <x:tableColumn id="1" name="ID"/>
    <x:tableColumn id="2" name="Validation item"/>
    <x:tableColumn id="3" name="Expected evidence"/>
    <x:tableColumn id="4" name="Owner"/>
    <x:tableColumn id="5" name="Criticality"/>
    <x:tableColumn id="6" name="Passed?"/>
    <x:tableColumn id="7" name="Evidence / link"/>
    <x:tableColumn id="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P3Decisions" displayName="P3Decisions" ref="A4:J6" headerRowCount="1">
  <x:tableColumns count="10">
    <x:tableColumn id="1" name="Decision ID"/>
    <x:tableColumn id="2" name="Date"/>
    <x:tableColumn id="3" name="Decision area"/>
    <x:tableColumn id="4" name="Decision"/>
    <x:tableColumn id="5" name="Options considered"/>
    <x:tableColumn id="6" name="Rationale"/>
    <x:tableColumn id="7" name="Owner"/>
    <x:tableColumn id="8" name="Status"/>
    <x:tableColumn id="9" name="Impacted phase/component"/>
    <x:tableColumn id="10" name="Follow-up action"/>
  </x:tableColumns>
  <x:tableStyleInfo name="TableStyleMedium2" showRowStripes="1"/>
</x:table>
</file>

<file path=xl/tables/table6.xml><?xml version="1.0" encoding="utf-8"?>
<x:table xmlns:x="http://schemas.openxmlformats.org/spreadsheetml/2006/main" id="6" name="P3Risks" displayName="P3Risks" ref="A4:K7" headerRowCount="1">
  <x:tableColumns count="11">
    <x:tableColumn id="1" name="ID"/>
    <x:tableColumn id="2" name="Type"/>
    <x:tableColumn id="3" name="Area"/>
    <x:tableColumn id="4" name="Risk / issue"/>
    <x:tableColumn id="5" name="Impact"/>
    <x:tableColumn id="6" name="Probability"/>
    <x:tableColumn id="7" name="Mitigation / action"/>
    <x:tableColumn id="8" name="Status"/>
    <x:tableColumn id="9" name="Owner"/>
    <x:tableColumn id="10" name="Due date"/>
    <x:tableColumn id="11" name="Evidence / notes"/>
  </x:tableColumns>
  <x:tableStyleInfo name="TableStyleMedium2" showRowStripes="1"/>
</x:table>
</file>

<file path=xl/tables/table7.xml><?xml version="1.0" encoding="utf-8"?>
<x:table xmlns:x="http://schemas.openxmlformats.org/spreadsheetml/2006/main" id="7" name="P3Gaps" displayName="P3Gaps" ref="A4:I7" headerRowCount="1">
  <x:tableColumns count="9">
    <x:tableColumn id="1" name="Area"/>
    <x:tableColumn id="2" name="MVP decision"/>
    <x:tableColumn id="3" name="Production gap"/>
    <x:tableColumn id="4" name="Risk / limitation"/>
    <x:tableColumn id="5" name="Future production action"/>
    <x:tableColumn id="6" name="Owner"/>
    <x:tableColumn id="7" name="Status"/>
    <x:tableColumn id="8" name="Target phase/date"/>
    <x:tableColumn id="9" name="Decision reference"/>
  </x:tableColumns>
  <x:tableStyleInfo name="TableStyleMedium2" showRowStripes="1"/>
</x:table>
</file>

<file path=xl/tables/table8.xml><?xml version="1.0" encoding="utf-8"?>
<x:table xmlns:x="http://schemas.openxmlformats.org/spreadsheetml/2006/main" id="8" name="P3Controls" displayName="P3Controls" ref="A4:H12" headerRowCount="1">
  <x:tableColumns count="8">
    <x:tableColumn id="1" name="Control area"/>
    <x:tableColumn id="2" name="Control requirement"/>
    <x:tableColumn id="3" name="Applies in this phase?"/>
    <x:tableColumn id="4" name="MVP implementation"/>
    <x:tableColumn id="5" name="Production expectation"/>
    <x:tableColumn id="6" name="Owner"/>
    <x:tableColumn id="7" name="Status"/>
    <x:tableColumn id="8" name="Evidence / notes"/>
  </x:tableColumns>
  <x:tableStyleInfo name="TableStyleMedium2" showRowStripes="1"/>
</x:table>
</file>

<file path=xl/tables/table9.xml><?xml version="1.0" encoding="utf-8"?>
<x:table xmlns:x="http://schemas.openxmlformats.org/spreadsheetml/2006/main" id="9" name="P3ALM" displayName="P3ALM" ref="A4:K5" headerRowCount="1">
  <x:tableColumns count="11">
    <x:tableColumn id="1" name="ID"/>
    <x:tableColumn id="2" name="Solution/component"/>
    <x:tableColumn id="3" name="Version"/>
    <x:tableColumn id="4" name="Change summary"/>
    <x:tableColumn id="5" name="Export/deploy type"/>
    <x:tableColumn id="6" name="Environment"/>
    <x:tableColumn id="7" name="Date"/>
    <x:tableColumn id="8" name="Owner"/>
    <x:tableColumn id="9" name="File/link"/>
    <x:tableColumn id="10" name="Validation status"/>
    <x:tableColumn id="11" name="Rollback notes"/>
  </x:tableColumns>
  <x:tableStyleInfo name="TableStyleMedium2" showRowStripes="1"/>
</x:table>
</file>

<file path=xl/tables/table10.xml><?xml version="1.0" encoding="utf-8"?>
<x:table xmlns:x="http://schemas.openxmlformats.org/spreadsheetml/2006/main" id="10" name="P3TestData" displayName="P3TestData" ref="A4:J5" headerRowCount="1">
  <x:tableColumns count="10">
    <x:tableColumn id="1" name="ID"/>
    <x:tableColumn id="2" name="Record type"/>
    <x:tableColumn id="3" name="Record name"/>
    <x:tableColumn id="4" name="Purpose"/>
    <x:tableColumn id="5" name="Created in environment"/>
    <x:tableColumn id="6" name="Owner"/>
    <x:tableColumn id="7" name="Data classification"/>
    <x:tableColumn id="8" name="Cleanup needed?"/>
    <x:tableColumn id="9" name="Status"/>
    <x:tableColumn id="10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P3Sources" displayName="P3Sources" ref="A4:C8" headerRowCount="1">
  <x:tableColumns count="3">
    <x:tableColumn id="1" name="Source"/>
    <x:tableColumn id="2" name="Relevant section / use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7bb3d7f95c847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6bc880129844b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896fe9a1b3b4d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a4cc3274a7a48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d43520f4e0f4f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bbaf32f7f6a44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47ce094f86c4a0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bf7aca73d2f04b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595627d467460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234c096e560a400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1.xml" Id="R95463bf4e8d04918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0" hidden="0" customWidth="1"/>
    <x:col min="4" max="4" width="28" hidden="0" customWidth="1"/>
    <x:col min="5" max="5" width="18" hidden="0" customWidth="1"/>
    <x:col min="6" max="6" width="42" hidden="0" customWidth="1"/>
  </x:cols>
  <x:sheetData>
    <x:row r="1" ht="28" customHeight="1">
      <x:c r="A1" s="6" t="str">
        <x:v>ASO Phase 3 Workbook — Customer Insights - Journeys Communication Plane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Customer-ready enterprise/MVP tracking workbook for Agentic Sales Orchestrator.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22" t="str">
        <x:v>Current phase</x:v>
      </x:c>
      <x:c r="B4" s="28" t="str">
        <x:v>Phase 3</x:v>
      </x:c>
      <x:c r="D4" s="22" t="str">
        <x:v>Phase Control Dashboard</x:v>
      </x:c>
      <x:c r="E4" s="22"/>
      <x:c r="F4" s="22"/>
      <x:c r="G4" s="22"/>
      <x:c r="H4" s="22"/>
      <x:c r="I4" s="22"/>
      <x:c r="J4" s="22"/>
    </x:row>
    <x:row r="5">
      <x:c r="A5" s="22" t="str">
        <x:v>Objective</x:v>
      </x:c>
      <x:c r="B5" s="28" t="str">
        <x:v>Prepare the governed outbound communication layer with compliance profile, triggers, segments, email assets, journeys, and writeback requirements.</x:v>
      </x:c>
      <x:c r="D5" s="34" t="str">
        <x:v>Total tasks</x:v>
      </x:c>
      <x:c r="E5" s="42" t="n">
        <x:f>COUNTA('Build Tracker'!A5:A300)</x:f>
        <x:v>17</x:v>
      </x:c>
    </x:row>
    <x:row r="6">
      <x:c r="A6" s="22" t="str">
        <x:v>Primary solution/component</x:v>
      </x:c>
      <x:c r="B6" s="28" t="str">
        <x:v>ASO.Journeys / ASO.Core / ASO.Automation</x:v>
      </x:c>
      <x:c r="D6" s="34" t="str">
        <x:v>Done</x:v>
      </x:c>
      <x:c r="E6" s="42" t="n">
        <x:f>COUNTIF('Build Tracker'!G5:G300,"Done")</x:f>
        <x:v>0</x:v>
      </x:c>
    </x:row>
    <x:row r="7">
      <x:c r="A7" s="22" t="str">
        <x:v>Source of truth</x:v>
      </x:c>
      <x:c r="B7" s="28" t="str">
        <x:v>MAIN_Agentic Sales Orchestrator - Build Guide.md — Phase 3 / Customer Insights sections</x:v>
      </x:c>
      <x:c r="D7" s="34" t="str">
        <x:v>In progress</x:v>
      </x:c>
      <x:c r="E7" s="42" t="n">
        <x:f>COUNTIF('Build Tracker'!G5:G300,"In Progress")</x:f>
        <x:v>0</x:v>
      </x:c>
    </x:row>
    <x:row r="8">
      <x:c r="A8" s="22" t="str">
        <x:v>Enterprise target</x:v>
      </x:c>
      <x:c r="B8" s="28" t="str">
        <x:v>Customer Insights - Journeys is installed, sending domain authenticated, compliance profiles and topics published, triggers/segments/email assets/journeys created, and writeback rules defined.</x:v>
      </x:c>
      <x:c r="D8" s="34" t="str">
        <x:v>Blocked</x:v>
      </x:c>
      <x:c r="E8" s="42" t="n">
        <x:f>COUNTIF('Build Tracker'!G5:G300,"Blocked")</x:f>
        <x:v>0</x:v>
      </x:c>
    </x:row>
    <x:row r="9">
      <x:c r="A9" s="22" t="str">
        <x:v>MVP/trial adaptation</x:v>
      </x:c>
      <x:c r="B9" s="28" t="str">
        <x:v>If CIJ trial capability is limited, configure what is available, simulate journey entry/writeback in Dataverse, and document domain/compliance/send limitations.</x:v>
      </x:c>
      <x:c r="D9" s="34" t="str">
        <x:v>Completion %</x:v>
      </x:c>
      <x:c r="E9" s="46" t="n">
        <x:f>IFERROR(COUNTIF('Build Tracker'!G5:G300,"Done")/COUNTA('Build Tracker'!A5:A300),0)</x:f>
        <x:v>0</x:v>
      </x:c>
    </x:row>
    <x:row r="10">
      <x:c r="A10" s="22" t="str">
        <x:v>Non-negotiable</x:v>
      </x:c>
      <x:c r="B10" s="28" t="str">
        <x:v>Do not send customer lifecycle communications through Outlook, Power Automate, Sales agents, or Foundry.</x:v>
      </x:c>
      <x:c r="D10" s="34" t="str">
        <x:v>Open risks/issues</x:v>
      </x:c>
      <x:c r="E10" s="42" t="n">
        <x:f>COUNTIFS('Risk &amp; Issue Log'!A5:A300,"&lt;&gt;",'Risk &amp; Issue Log'!H5:H300,"&lt;&gt;Closed")</x:f>
        <x:v>3</x:v>
      </x:c>
    </x:row>
    <x:row r="11">
      <x:c r="D11" s="34" t="str">
        <x:v>Open production gaps</x:v>
      </x:c>
      <x:c r="E11" s="42" t="n">
        <x:f>COUNTIFS('Production Gap Log'!A5:A300,"&lt;&gt;",'Production Gap Log'!G5:G300,"&lt;&gt;Closed")</x:f>
        <x:v>3</x:v>
      </x:c>
    </x:row>
    <x:row r="12">
      <x:c r="D12" s="34" t="str">
        <x:v>Validation passed</x:v>
      </x:c>
      <x:c r="E12" s="42" t="n">
        <x:f>COUNTIF('Validation Checklist'!F5:F300,"Yes")</x:f>
        <x:v>0</x:v>
      </x:c>
    </x:row>
    <x:row r="15">
      <x:c r="D15" s="51" t="str">
        <x:v>Phase Gate Criteria</x:v>
      </x:c>
      <x:c r="E15" s="51" t="str">
        <x:v>Status</x:v>
      </x:c>
      <x:c r="F15" s="51" t="str">
        <x:v>Evidence / notes</x:v>
      </x:c>
    </x:row>
    <x:row r="16">
      <x:c r="D16" s="28" t="str">
        <x:v>Prerequisites confirmed</x:v>
      </x:c>
      <x:c r="E16" s="28" t="str">
        <x:v>Not Started</x:v>
      </x:c>
      <x:c r="F16" s="28" t="str"/>
    </x:row>
    <x:row r="17">
      <x:c r="D17" s="28" t="str">
        <x:v>Build tracker complete or deferred with approval</x:v>
      </x:c>
      <x:c r="E17" s="28" t="str">
        <x:v>Not Started</x:v>
      </x:c>
      <x:c r="F17" s="28" t="str"/>
    </x:row>
    <x:row r="18">
      <x:c r="D18" s="28" t="str">
        <x:v>Validation checklist passed</x:v>
      </x:c>
      <x:c r="E18" s="28" t="str">
        <x:v>Not Started</x:v>
      </x:c>
      <x:c r="F18" s="28" t="str"/>
    </x:row>
    <x:row r="19">
      <x:c r="D19" s="28" t="str">
        <x:v>Risks/issues assessed</x:v>
      </x:c>
      <x:c r="E19" s="28" t="str">
        <x:v>Not Started</x:v>
      </x:c>
      <x:c r="F19" s="28" t="str"/>
    </x:row>
    <x:row r="20">
      <x:c r="D20" s="28" t="str">
        <x:v>Production gaps logged</x:v>
      </x:c>
      <x:c r="E20" s="28" t="str">
        <x:v>Not Started</x:v>
      </x:c>
      <x:c r="F20" s="28" t="str"/>
    </x:row>
    <x:row r="21">
      <x:c r="D21" s="28" t="str">
        <x:v>Solution/export evidence recorded</x:v>
      </x:c>
      <x:c r="E21" s="28" t="str">
        <x:v>Not Started</x:v>
      </x:c>
      <x:c r="F21" s="28" t="str"/>
    </x:row>
    <x:row r="22">
      <x:c r="D22" s="28" t="str">
        <x:v>Architecture boundaries preserved</x:v>
      </x:c>
      <x:c r="E22" s="28" t="str">
        <x:v>Not Started</x:v>
      </x:c>
      <x:c r="F22" s="28" t="str"/>
    </x:row>
  </x:sheetData>
  <x:mergeCells>
    <x:mergeCell ref="A1:J1"/>
    <x:mergeCell ref="A2:J2"/>
    <x:mergeCell ref="D4:J4"/>
  </x:mergeCells>
  <x:dataValidations count="1">
    <x:dataValidation type="list" sqref="E16:E22">
      <x:formula1>"Not Started,In Progress,Blocked,Deferred,Done,N/A"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6" t="str">
        <x:v>Phase 3 Charter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Scope, assumptions, boundaries, and operating model for this phase.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Field</x:v>
      </x:c>
      <x:c r="B4" s="51" t="str">
        <x:v>Value</x:v>
      </x:c>
    </x:row>
    <x:row r="5">
      <x:c r="A5" s="28" t="str">
        <x:v>Phase</x:v>
      </x:c>
      <x:c r="B5" s="28" t="str">
        <x:v>Phase 3 — Customer Insights - Journeys Communication Plane</x:v>
      </x:c>
    </x:row>
    <x:row r="6">
      <x:c r="A6" s="28" t="str">
        <x:v>Objective</x:v>
      </x:c>
      <x:c r="B6" s="28" t="str">
        <x:v>Prepare the governed outbound communication layer with compliance profile, triggers, segments, email assets, journeys, and writeback requirements.</x:v>
      </x:c>
    </x:row>
    <x:row r="7">
      <x:c r="A7" s="28" t="str">
        <x:v>Source of truth</x:v>
      </x:c>
      <x:c r="B7" s="28" t="str">
        <x:v>MAIN_Agentic Sales Orchestrator - Build Guide.md — Phase 3 / Customer Insights sections</x:v>
      </x:c>
    </x:row>
    <x:row r="8">
      <x:c r="A8" s="28" t="str">
        <x:v>Primary solution/component</x:v>
      </x:c>
      <x:c r="B8" s="28" t="str">
        <x:v>ASO.Journeys / ASO.Core / ASO.Automation</x:v>
      </x:c>
    </x:row>
    <x:row r="9">
      <x:c r="A9" s="28" t="str">
        <x:v>Enterprise target</x:v>
      </x:c>
      <x:c r="B9" s="28" t="str">
        <x:v>Customer Insights - Journeys is installed, sending domain authenticated, compliance profiles and topics published, triggers/segments/email assets/journeys created, and writeback rules defined.</x:v>
      </x:c>
    </x:row>
    <x:row r="10">
      <x:c r="A10" s="28" t="str">
        <x:v>MVP/trial-friendly implementation</x:v>
      </x:c>
      <x:c r="B10" s="28" t="str">
        <x:v>If CIJ trial capability is limited, configure what is available, simulate journey entry/writeback in Dataverse, and document domain/compliance/send limitations.</x:v>
      </x:c>
    </x:row>
    <x:row r="11">
      <x:c r="A11" s="28" t="str">
        <x:v>What to simulate if blocked</x:v>
      </x:c>
      <x:c r="B11" s="28" t="str">
        <x:v>Use mocks/placeholders/manual validation only where product trial or licensing limits block the real enterprise component. Record every shortcut as MVP-only.</x:v>
      </x:c>
    </x:row>
    <x:row r="12">
      <x:c r="A12" s="28" t="str">
        <x:v>What to skip for now</x:v>
      </x:c>
      <x:c r="B12" s="28" t="str">
        <x:v>Do not send customer lifecycle communications through Outlook, Power Automate, Sales agents, or Foundry.</x:v>
      </x:c>
    </x:row>
    <x:row r="13">
      <x:c r="A13" s="28" t="str">
        <x:v>Architecture boundary</x:v>
      </x:c>
      <x:c r="B13" s="28" t="str">
        <x:v>Dataverse is operational truth; Customer Insights handles outbound lifecycle communications; Power Automate executes deterministically; Foundry orchestrates; SAP only through APIM + Azure Functions; HubSpot is ingress only and last.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2" hidden="0" customWidth="1"/>
    <x:col min="4" max="4" width="46" hidden="0" customWidth="1"/>
    <x:col min="5" max="5" width="42" hidden="0" customWidth="1"/>
    <x:col min="6" max="6" width="22" hidden="0" customWidth="1"/>
    <x:col min="7" max="7" width="16" hidden="0" customWidth="1"/>
    <x:col min="8" max="8" width="12" hidden="0" customWidth="1"/>
    <x:col min="9" max="9" width="14" hidden="0" customWidth="1"/>
    <x:col min="10" max="10" width="14" hidden="0" customWidth="1"/>
    <x:col min="11" max="11" width="16" hidden="0" customWidth="1"/>
    <x:col min="12" max="12" width="30" hidden="0" customWidth="1"/>
    <x:col min="13" max="13" width="24" hidden="0" customWidth="1"/>
    <x:col min="14" max="14" width="36" hidden="0" customWidth="1"/>
  </x:cols>
  <x:sheetData>
    <x:row r="1" ht="28" customHeight="1">
      <x:c r="A1" s="6" t="str">
        <x:v>Phase 3 Build Tracker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every build/configuration item through owner, status, evidence and validation.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Work item</x:v>
      </x:c>
      <x:c r="C4" s="51" t="str">
        <x:v>Stream</x:v>
      </x:c>
      <x:c r="D4" s="51" t="str">
        <x:v>Implementation instruction</x:v>
      </x:c>
      <x:c r="E4" s="51" t="str">
        <x:v>Expected outcome</x:v>
      </x:c>
      <x:c r="F4" s="51" t="str">
        <x:v>Owner role</x:v>
      </x:c>
      <x:c r="G4" s="51" t="str">
        <x:v>Status</x:v>
      </x:c>
      <x:c r="H4" s="51" t="str">
        <x:v>Priority</x:v>
      </x:c>
      <x:c r="I4" s="51" t="str">
        <x:v>Start date</x:v>
      </x:c>
      <x:c r="J4" s="51" t="str">
        <x:v>Target date</x:v>
      </x:c>
      <x:c r="K4" s="51" t="str">
        <x:v>Completed date</x:v>
      </x:c>
      <x:c r="L4" s="51" t="str">
        <x:v>Evidence / link</x:v>
      </x:c>
      <x:c r="M4" s="51" t="str">
        <x:v>Validation result</x:v>
      </x:c>
      <x:c r="N4" s="51" t="str">
        <x:v>Notes</x:v>
      </x:c>
    </x:row>
    <x:row r="5">
      <x:c r="A5" s="28" t="str">
        <x:v>3.1</x:v>
      </x:c>
      <x:c r="B5" s="28" t="str">
        <x:v>Confirm Customer Insights - Journeys installation</x:v>
      </x:c>
      <x:c r="C5" s="28" t="str">
        <x:v>Prerequisite</x:v>
      </x:c>
      <x:c r="D5" s="28" t="str">
        <x:v>Check app installed in DEV</x:v>
      </x:c>
      <x:c r="E5" s="28" t="str">
        <x:v>App available or limitation logged</x:v>
      </x:c>
      <x:c r="F5" s="28" t="str">
        <x:v>Admin</x:v>
      </x:c>
      <x:c r="G5" s="28" t="str">
        <x:v>Not Started</x:v>
      </x:c>
      <x:c r="H5" s="28" t="str">
        <x:v>High</x:v>
      </x:c>
      <x:c r="I5" s="28" t="str"/>
      <x:c r="J5" s="28" t="str"/>
      <x:c r="K5" s="28" t="str"/>
      <x:c r="L5" s="28" t="str"/>
      <x:c r="M5" s="28" t="str"/>
      <x:c r="N5" s="28" t="str"/>
    </x:row>
    <x:row r="6">
      <x:c r="A6" s="28" t="str">
        <x:v>3.2</x:v>
      </x:c>
      <x:c r="B6" s="28" t="str">
        <x:v>Configure sending domain</x:v>
      </x:c>
      <x:c r="C6" s="28" t="str">
        <x:v>Compliance</x:v>
      </x:c>
      <x:c r="D6" s="28" t="str">
        <x:v>Authenticate sending domain or document trial limitation</x:v>
      </x:c>
      <x:c r="E6" s="28" t="str">
        <x:v>Domain verified or MVP gap logged</x:v>
      </x:c>
      <x:c r="F6" s="28" t="str">
        <x:v>Marketing/CI Operator</x:v>
      </x:c>
      <x:c r="G6" s="28" t="str">
        <x:v>Not Started</x:v>
      </x:c>
      <x:c r="H6" s="28" t="str">
        <x:v>High</x:v>
      </x:c>
      <x:c r="I6" s="28" t="str"/>
      <x:c r="J6" s="28" t="str"/>
      <x:c r="K6" s="28" t="str"/>
      <x:c r="L6" s="28" t="str"/>
      <x:c r="M6" s="28" t="str"/>
      <x:c r="N6" s="28" t="str"/>
    </x:row>
    <x:row r="7">
      <x:c r="A7" s="28" t="str">
        <x:v>3.3</x:v>
      </x:c>
      <x:c r="B7" s="28" t="str">
        <x:v>Create compliance profile</x:v>
      </x:c>
      <x:c r="C7" s="28" t="str">
        <x:v>Compliance</x:v>
      </x:c>
      <x:c r="D7" s="28" t="str">
        <x:v>Name Global Commercial or region equivalent</x:v>
      </x:c>
      <x:c r="E7" s="28" t="str">
        <x:v>Profile published/tested</x:v>
      </x:c>
      <x:c r="F7" s="28" t="str">
        <x:v>Marketing/CI Operator</x:v>
      </x:c>
      <x:c r="G7" s="28" t="str">
        <x:v>Not Started</x:v>
      </x:c>
      <x:c r="H7" s="28" t="str">
        <x:v>High</x:v>
      </x:c>
      <x:c r="I7" s="28" t="str"/>
      <x:c r="J7" s="28" t="str"/>
      <x:c r="K7" s="28" t="str"/>
      <x:c r="L7" s="28" t="str"/>
      <x:c r="M7" s="28" t="str"/>
      <x:c r="N7" s="28" t="str"/>
    </x:row>
    <x:row r="8">
      <x:c r="A8" s="28" t="str">
        <x:v>3.4</x:v>
      </x:c>
      <x:c r="B8" s="28" t="str">
        <x:v>Create purpose and topics</x:v>
      </x:c>
      <x:c r="C8" s="28" t="str">
        <x:v>Consent</x:v>
      </x:c>
      <x:c r="D8" s="28" t="str">
        <x:v>Sales Lifecycle purpose; Lead, Qualified Lead, Opportunity, Quote Proposal, Order, Onboarding, Retention, Expansion topics</x:v>
      </x:c>
      <x:c r="E8" s="28" t="str">
        <x:v>Topics published</x:v>
      </x:c>
      <x:c r="F8" s="28" t="str">
        <x:v>Marketing/CI Operator</x:v>
      </x:c>
      <x:c r="G8" s="28" t="str">
        <x:v>Not Started</x:v>
      </x:c>
      <x:c r="H8" s="28" t="str">
        <x:v>High</x:v>
      </x:c>
      <x:c r="I8" s="28" t="str"/>
      <x:c r="J8" s="28" t="str"/>
      <x:c r="K8" s="28" t="str"/>
      <x:c r="L8" s="28" t="str"/>
      <x:c r="M8" s="28" t="str"/>
      <x:c r="N8" s="28" t="str"/>
    </x:row>
    <x:row r="9">
      <x:c r="A9" s="28" t="str">
        <x:v>3.5</x:v>
      </x:c>
      <x:c r="B9" s="28" t="str">
        <x:v>Create Dataverse/custom triggers</x:v>
      </x:c>
      <x:c r="C9" s="28" t="str">
        <x:v>Triggers</x:v>
      </x:c>
      <x:c r="D9" s="28" t="str">
        <x:v>ASO Lead Nurture Requested, Qualified Lead Follow Up, Opportunity Progression, Quote Proposal, Order Confirmation, Onboarding</x:v>
      </x:c>
      <x:c r="E9" s="28" t="str">
        <x:v>Triggers ready/published</x:v>
      </x:c>
      <x:c r="F9" s="28" t="str">
        <x:v>Marketing/CI Operator</x:v>
      </x:c>
      <x:c r="G9" s="28" t="str">
        <x:v>Not Started</x:v>
      </x:c>
      <x:c r="H9" s="28" t="str">
        <x:v>High</x:v>
      </x:c>
      <x:c r="I9" s="28" t="str"/>
      <x:c r="J9" s="28" t="str"/>
      <x:c r="K9" s="28" t="str"/>
      <x:c r="L9" s="28" t="str"/>
      <x:c r="M9" s="28" t="str"/>
      <x:c r="N9" s="28" t="str"/>
    </x:row>
    <x:row r="10">
      <x:c r="A10" s="28" t="str">
        <x:v>3.6</x:v>
      </x:c>
      <x:c r="B10" s="28" t="str">
        <x:v>Create Lead - Nurture Ready segment</x:v>
      </x:c>
      <x:c r="C10" s="28" t="str">
        <x:v>Segments</x:v>
      </x:c>
      <x:c r="D10" s="28" t="str">
        <x:v>Lifecycle=Lead; Communication State=Eligible; Consent=OptedIn; Not Active</x:v>
      </x:c>
      <x:c r="E10" s="28" t="str">
        <x:v>Segment published</x:v>
      </x:c>
      <x:c r="F10" s="28" t="str">
        <x:v>Marketing/CI Operator</x:v>
      </x:c>
      <x:c r="G10" s="28" t="str">
        <x:v>Not Started</x:v>
      </x:c>
      <x:c r="H10" s="28" t="str">
        <x:v>Medium</x:v>
      </x:c>
      <x:c r="I10" s="28" t="str"/>
      <x:c r="J10" s="28" t="str"/>
      <x:c r="K10" s="28" t="str"/>
      <x:c r="L10" s="28" t="str"/>
      <x:c r="M10" s="28" t="str"/>
      <x:c r="N10" s="28" t="str"/>
    </x:row>
    <x:row r="11">
      <x:c r="A11" s="28" t="str">
        <x:v>3.7</x:v>
      </x:c>
      <x:c r="B11" s="28" t="str">
        <x:v>Create Qualified Lead segment</x:v>
      </x:c>
      <x:c r="C11" s="28" t="str">
        <x:v>Segments</x:v>
      </x:c>
      <x:c r="D11" s="28" t="str">
        <x:v>QualifiedLead ready segment</x:v>
      </x:c>
      <x:c r="E11" s="28" t="str">
        <x:v>Segment published</x:v>
      </x:c>
      <x:c r="F11" s="28" t="str">
        <x:v>Marketing/CI Operator</x:v>
      </x:c>
      <x:c r="G11" s="28" t="str">
        <x:v>Not Started</x:v>
      </x:c>
      <x:c r="H11" s="28" t="str">
        <x:v>Medium</x:v>
      </x:c>
      <x:c r="I11" s="28" t="str"/>
      <x:c r="J11" s="28" t="str"/>
      <x:c r="K11" s="28" t="str"/>
      <x:c r="L11" s="28" t="str"/>
      <x:c r="M11" s="28" t="str"/>
      <x:c r="N11" s="28" t="str"/>
    </x:row>
    <x:row r="12">
      <x:c r="A12" s="28" t="str">
        <x:v>3.8</x:v>
      </x:c>
      <x:c r="B12" s="28" t="str">
        <x:v>Create Opportunity Proposal segment</x:v>
      </x:c>
      <x:c r="C12" s="28" t="str">
        <x:v>Segments</x:v>
      </x:c>
      <x:c r="D12" s="28" t="str">
        <x:v>Opportunity/QuoteProposal eligible contacts</x:v>
      </x:c>
      <x:c r="E12" s="28" t="str">
        <x:v>Segment published</x:v>
      </x:c>
      <x:c r="F12" s="28" t="str">
        <x:v>Marketing/CI Operator</x:v>
      </x:c>
      <x:c r="G12" s="28" t="str">
        <x:v>Not Started</x:v>
      </x:c>
      <x:c r="H12" s="28" t="str">
        <x:v>Medium</x:v>
      </x:c>
      <x:c r="I12" s="28" t="str"/>
      <x:c r="J12" s="28" t="str"/>
      <x:c r="K12" s="28" t="str"/>
      <x:c r="L12" s="28" t="str"/>
      <x:c r="M12" s="28" t="str"/>
      <x:c r="N12" s="28" t="str"/>
    </x:row>
    <x:row r="13">
      <x:c r="A13" s="28" t="str">
        <x:v>3.9</x:v>
      </x:c>
      <x:c r="B13" s="28" t="str">
        <x:v>Create order/onboarding/retention/expansion segments</x:v>
      </x:c>
      <x:c r="C13" s="28" t="str">
        <x:v>Segments</x:v>
      </x:c>
      <x:c r="D13" s="28" t="str">
        <x:v>Lifecycle segments</x:v>
      </x:c>
      <x:c r="E13" s="28" t="str">
        <x:v>Segments published</x:v>
      </x:c>
      <x:c r="F13" s="28" t="str">
        <x:v>Marketing/CI Operator</x:v>
      </x:c>
      <x:c r="G13" s="28" t="str">
        <x:v>Not Started</x:v>
      </x:c>
      <x:c r="H13" s="28" t="str">
        <x:v>Medium</x:v>
      </x:c>
      <x:c r="I13" s="28" t="str"/>
      <x:c r="J13" s="28" t="str"/>
      <x:c r="K13" s="28" t="str"/>
      <x:c r="L13" s="28" t="str"/>
      <x:c r="M13" s="28" t="str"/>
      <x:c r="N13" s="28" t="str"/>
    </x:row>
    <x:row r="14">
      <x:c r="A14" s="28" t="str">
        <x:v>3.10</x:v>
      </x:c>
      <x:c r="B14" s="28" t="str">
        <x:v>Create governed email assets</x:v>
      </x:c>
      <x:c r="C14" s="28" t="str">
        <x:v>Email Assets</x:v>
      </x:c>
      <x:c r="D14" s="28" t="str">
        <x:v>Lead nurture, QL follow-up, opportunity, quote, order, onboarding, retention, expansion</x:v>
      </x:c>
      <x:c r="E14" s="28" t="str">
        <x:v>Emails approved/test-ready</x:v>
      </x:c>
      <x:c r="F14" s="28" t="str">
        <x:v>Marketing/CI Operator</x:v>
      </x:c>
      <x:c r="G14" s="28" t="str">
        <x:v>Not Started</x:v>
      </x:c>
      <x:c r="H14" s="28" t="str">
        <x:v>Medium</x:v>
      </x:c>
      <x:c r="I14" s="28" t="str"/>
      <x:c r="J14" s="28" t="str"/>
      <x:c r="K14" s="28" t="str"/>
      <x:c r="L14" s="28" t="str"/>
      <x:c r="M14" s="28" t="str"/>
      <x:c r="N14" s="28" t="str"/>
    </x:row>
    <x:row r="15">
      <x:c r="A15" s="28" t="str">
        <x:v>3.11</x:v>
      </x:c>
      <x:c r="B15" s="28" t="str">
        <x:v>Create Lead Nurture journey</x:v>
      </x:c>
      <x:c r="C15" s="28" t="str">
        <x:v>Journeys</x:v>
      </x:c>
      <x:c r="D15" s="28" t="str">
        <x:v>Segment or trigger entry, email, wait, branches, custom action</x:v>
      </x:c>
      <x:c r="E15" s="28" t="str">
        <x:v>Journey tested/published if allowed</x:v>
      </x:c>
      <x:c r="F15" s="28" t="str">
        <x:v>Marketing/CI Operator</x:v>
      </x:c>
      <x:c r="G15" s="28" t="str">
        <x:v>Not Started</x:v>
      </x:c>
      <x:c r="H15" s="28" t="str">
        <x:v>High</x:v>
      </x:c>
      <x:c r="I15" s="28" t="str"/>
      <x:c r="J15" s="28" t="str"/>
      <x:c r="K15" s="28" t="str"/>
      <x:c r="L15" s="28" t="str"/>
      <x:c r="M15" s="28" t="str"/>
      <x:c r="N15" s="28" t="str"/>
    </x:row>
    <x:row r="16">
      <x:c r="A16" s="28" t="str">
        <x:v>3.12</x:v>
      </x:c>
      <x:c r="B16" s="28" t="str">
        <x:v>Create Qualified Lead journey</x:v>
      </x:c>
      <x:c r="C16" s="28" t="str">
        <x:v>Journeys</x:v>
      </x:c>
      <x:c r="D16" s="28" t="str">
        <x:v>Follow-up and task signal</x:v>
      </x:c>
      <x:c r="E16" s="28" t="str">
        <x:v>Journey tested/published if allowed</x:v>
      </x:c>
      <x:c r="F16" s="28" t="str">
        <x:v>Marketing/CI Operator</x:v>
      </x:c>
      <x:c r="G16" s="28" t="str">
        <x:v>Not Started</x:v>
      </x:c>
      <x:c r="H16" s="28" t="str">
        <x:v>Medium</x:v>
      </x:c>
      <x:c r="I16" s="28" t="str"/>
      <x:c r="J16" s="28" t="str"/>
      <x:c r="K16" s="28" t="str"/>
      <x:c r="L16" s="28" t="str"/>
      <x:c r="M16" s="28" t="str"/>
      <x:c r="N16" s="28" t="str"/>
    </x:row>
    <x:row r="17">
      <x:c r="A17" s="28" t="str">
        <x:v>3.13</x:v>
      </x:c>
      <x:c r="B17" s="28" t="str">
        <x:v>Create Opportunity Progression journey</x:v>
      </x:c>
      <x:c r="C17" s="28" t="str">
        <x:v>Journeys</x:v>
      </x:c>
      <x:c r="D17" s="28" t="str">
        <x:v>Stage-specific engagement</x:v>
      </x:c>
      <x:c r="E17" s="28" t="str">
        <x:v>Journey tested/published if allowed</x:v>
      </x:c>
      <x:c r="F17" s="28" t="str">
        <x:v>Marketing/CI Operator</x:v>
      </x:c>
      <x:c r="G17" s="28" t="str">
        <x:v>Not Started</x:v>
      </x:c>
      <x:c r="H17" s="28" t="str">
        <x:v>Medium</x:v>
      </x:c>
      <x:c r="I17" s="28" t="str"/>
      <x:c r="J17" s="28" t="str"/>
      <x:c r="K17" s="28" t="str"/>
      <x:c r="L17" s="28" t="str"/>
      <x:c r="M17" s="28" t="str"/>
      <x:c r="N17" s="28" t="str"/>
    </x:row>
    <x:row r="18">
      <x:c r="A18" s="28" t="str">
        <x:v>3.14</x:v>
      </x:c>
      <x:c r="B18" s="28" t="str">
        <x:v>Create Quote Proposal journey</x:v>
      </x:c>
      <x:c r="C18" s="28" t="str">
        <x:v>Journeys</x:v>
      </x:c>
      <x:c r="D18" s="28" t="str">
        <x:v>Proposal communication and engagement tracking</x:v>
      </x:c>
      <x:c r="E18" s="28" t="str">
        <x:v>Journey tested/published if allowed</x:v>
      </x:c>
      <x:c r="F18" s="28" t="str">
        <x:v>Marketing/CI Operator</x:v>
      </x:c>
      <x:c r="G18" s="28" t="str">
        <x:v>Not Started</x:v>
      </x:c>
      <x:c r="H18" s="28" t="str">
        <x:v>Medium</x:v>
      </x:c>
      <x:c r="I18" s="28" t="str"/>
      <x:c r="J18" s="28" t="str"/>
      <x:c r="K18" s="28" t="str"/>
      <x:c r="L18" s="28" t="str"/>
      <x:c r="M18" s="28" t="str"/>
      <x:c r="N18" s="28" t="str"/>
    </x:row>
    <x:row r="19">
      <x:c r="A19" s="28" t="str">
        <x:v>3.15</x:v>
      </x:c>
      <x:c r="B19" s="28" t="str">
        <x:v>Create Order/Onboarding journey</x:v>
      </x:c>
      <x:c r="C19" s="28" t="str">
        <x:v>Journeys</x:v>
      </x:c>
      <x:c r="D19" s="28" t="str">
        <x:v>Only after SAP response validated later</x:v>
      </x:c>
      <x:c r="E19" s="28" t="str">
        <x:v>Journey draft/test only</x:v>
      </x:c>
      <x:c r="F19" s="28" t="str">
        <x:v>Marketing/CI Operator</x:v>
      </x:c>
      <x:c r="G19" s="28" t="str">
        <x:v>Not Started</x:v>
      </x:c>
      <x:c r="H19" s="28" t="str">
        <x:v>Medium</x:v>
      </x:c>
      <x:c r="I19" s="28" t="str"/>
      <x:c r="J19" s="28" t="str"/>
      <x:c r="K19" s="28" t="str"/>
      <x:c r="L19" s="28" t="str"/>
      <x:c r="M19" s="28" t="str"/>
      <x:c r="N19" s="28" t="str"/>
    </x:row>
    <x:row r="20">
      <x:c r="A20" s="28" t="str">
        <x:v>3.16</x:v>
      </x:c>
      <x:c r="B20" s="28" t="str">
        <x:v>Define writeback requirements</x:v>
      </x:c>
      <x:c r="C20" s="28" t="str">
        <x:v>Writeback</x:v>
      </x:c>
      <x:c r="D20" s="28" t="str">
        <x:v>Communication State, Journey Status, Journey ID/Name, Last Interaction, Consent, Hold Reason, Ledger rows</x:v>
      </x:c>
      <x:c r="E20" s="28" t="str">
        <x:v>Writeback mapping registered</x:v>
      </x:c>
      <x:c r="F20" s="28" t="str">
        <x:v>Solution Architect</x:v>
      </x:c>
      <x:c r="G20" s="28" t="str">
        <x:v>Not Started</x:v>
      </x:c>
      <x:c r="H20" s="28" t="str">
        <x:v>High</x:v>
      </x:c>
      <x:c r="I20" s="28" t="str"/>
      <x:c r="J20" s="28" t="str"/>
      <x:c r="K20" s="28" t="str"/>
      <x:c r="L20" s="28" t="str"/>
      <x:c r="M20" s="28" t="str"/>
      <x:c r="N20" s="28" t="str"/>
    </x:row>
    <x:row r="21">
      <x:c r="A21" s="28" t="str">
        <x:v>3.17</x:v>
      </x:c>
      <x:c r="B21" s="28" t="str">
        <x:v>Phase gate: CIJ boundary validated</x:v>
      </x:c>
      <x:c r="C21" s="28" t="str">
        <x:v>Gate</x:v>
      </x:c>
      <x:c r="D21" s="28" t="str">
        <x:v>Confirm only CIJ handles outbound lifecycle communications</x:v>
      </x:c>
      <x:c r="E21" s="28" t="str">
        <x:v>Gate signed off</x:v>
      </x:c>
      <x:c r="F21" s="28" t="str">
        <x:v>Solution Architect</x:v>
      </x:c>
      <x:c r="G21" s="28" t="str">
        <x:v>Not Started</x:v>
      </x:c>
      <x:c r="H21" s="28" t="str">
        <x:v>High</x:v>
      </x:c>
      <x:c r="I21" s="28" t="str"/>
      <x:c r="J21" s="28" t="str"/>
      <x:c r="K21" s="28" t="str"/>
      <x:c r="L21" s="28" t="str"/>
      <x:c r="M21" s="28" t="str"/>
      <x:c r="N21" s="28" t="str"/>
    </x:row>
  </x:sheetData>
  <x:mergeCells>
    <x:mergeCell ref="A1:J1"/>
    <x:mergeCell ref="A2:J2"/>
  </x:mergeCells>
  <x:conditionalFormatting sqref="G5:G21">
    <x:cfRule type="expression" dxfId="0" priority="1">
      <x:formula>G5="Done"</x:formula>
    </x:cfRule>
    <x:cfRule type="expression" dxfId="1" priority="2">
      <x:formula>G5="Blocked"</x:formula>
    </x:cfRule>
    <x:cfRule type="expression" dxfId="2" priority="3">
      <x:formula>G5="In Progress"</x:formula>
    </x:cfRule>
  </x:conditionalFormatting>
  <x:dataValidations count="2">
    <x:dataValidation type="list" sqref="G5:G21">
      <x:formula1>"Not Started,In Progress,Blocked,Deferred,Done,N/A"</x:formula1>
    </x:dataValidation>
    <x:dataValidation type="list" sqref="H5:H2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bb3d7f95c847f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2" hidden="0" customWidth="1"/>
    <x:col min="3" max="3" width="28" hidden="0" customWidth="1"/>
    <x:col min="4" max="4" width="38" hidden="0" customWidth="1"/>
    <x:col min="5" max="5" width="34" hidden="0" customWidth="1"/>
    <x:col min="6" max="6" width="42" hidden="0" customWidth="1"/>
    <x:col min="7" max="7" width="16" hidden="0" customWidth="1"/>
    <x:col min="8" max="8" width="30" hidden="0" customWidth="1"/>
  </x:cols>
  <x:sheetData>
    <x:row r="1" ht="28" customHeight="1">
      <x:c r="A1" s="6" t="str">
        <x:v>Phase 3 Click-by-Click Runbook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Operational build notes for step-by-step execution. Keep evidence and blockers current.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Step</x:v>
      </x:c>
      <x:c r="B4" s="51" t="str">
        <x:v>Click path / action</x:v>
      </x:c>
      <x:c r="C4" s="51" t="str">
        <x:v>Exact name or value</x:v>
      </x:c>
      <x:c r="D4" s="51" t="str">
        <x:v>Configuration notes</x:v>
      </x:c>
      <x:c r="E4" s="51" t="str">
        <x:v>Expected UI result</x:v>
      </x:c>
      <x:c r="F4" s="51" t="str">
        <x:v>Common mistake to avoid</x:v>
      </x:c>
      <x:c r="G4" s="51" t="str">
        <x:v>Status</x:v>
      </x:c>
      <x:c r="H4" s="51" t="str">
        <x:v>Evidence</x:v>
      </x:c>
    </x:row>
    <x:row r="5">
      <x:c r="A5" s="28" t="str">
        <x:v>3.1</x:v>
      </x:c>
      <x:c r="B5" s="28" t="str">
        <x:v>Check app installed in DEV</x:v>
      </x:c>
      <x:c r="C5" s="28" t="str"/>
      <x:c r="D5" s="28" t="str">
        <x:v>App available or limitation logged</x:v>
      </x:c>
      <x:c r="E5" s="28" t="str">
        <x:v>Visible/configured in the correct solution/component</x:v>
      </x:c>
      <x:c r="F5" s="28" t="str">
        <x:v>Do not send customer lifecycle communications through Outlook, Power Automate, Sales agents, or Foundry.</x:v>
      </x:c>
      <x:c r="G5" s="28" t="str">
        <x:v>Not Started</x:v>
      </x:c>
      <x:c r="H5" s="28" t="str"/>
    </x:row>
    <x:row r="6">
      <x:c r="A6" s="28" t="str">
        <x:v>3.2</x:v>
      </x:c>
      <x:c r="B6" s="28" t="str">
        <x:v>Authenticate sending domain or document trial limitation</x:v>
      </x:c>
      <x:c r="C6" s="28" t="str"/>
      <x:c r="D6" s="28" t="str">
        <x:v>Domain verified or MVP gap logged</x:v>
      </x:c>
      <x:c r="E6" s="28" t="str">
        <x:v>Visible/configured in the correct solution/component</x:v>
      </x:c>
      <x:c r="F6" s="28" t="str">
        <x:v>Do not send customer lifecycle communications through Outlook, Power Automate, Sales agents, or Foundry.</x:v>
      </x:c>
      <x:c r="G6" s="28" t="str">
        <x:v>Not Started</x:v>
      </x:c>
      <x:c r="H6" s="28" t="str"/>
    </x:row>
    <x:row r="7">
      <x:c r="A7" s="28" t="str">
        <x:v>3.3</x:v>
      </x:c>
      <x:c r="B7" s="28" t="str">
        <x:v>Name Global Commercial or region equivalent</x:v>
      </x:c>
      <x:c r="C7" s="28" t="str"/>
      <x:c r="D7" s="28" t="str">
        <x:v>Profile published/tested</x:v>
      </x:c>
      <x:c r="E7" s="28" t="str">
        <x:v>Visible/configured in the correct solution/component</x:v>
      </x:c>
      <x:c r="F7" s="28" t="str">
        <x:v>Do not send customer lifecycle communications through Outlook, Power Automate, Sales agents, or Foundry.</x:v>
      </x:c>
      <x:c r="G7" s="28" t="str">
        <x:v>Not Started</x:v>
      </x:c>
      <x:c r="H7" s="28" t="str"/>
    </x:row>
    <x:row r="8">
      <x:c r="A8" s="28" t="str">
        <x:v>3.4</x:v>
      </x:c>
      <x:c r="B8" s="28" t="str">
        <x:v>Sales Lifecycle purpose; Lead, Qualified Lead, Opportunity, Quote Proposal, Order, Onboarding, Retention, Expansion topics</x:v>
      </x:c>
      <x:c r="C8" s="28" t="str"/>
      <x:c r="D8" s="28" t="str">
        <x:v>Topics published</x:v>
      </x:c>
      <x:c r="E8" s="28" t="str">
        <x:v>Visible/configured in the correct solution/component</x:v>
      </x:c>
      <x:c r="F8" s="28" t="str">
        <x:v>Do not send customer lifecycle communications through Outlook, Power Automate, Sales agents, or Foundry.</x:v>
      </x:c>
      <x:c r="G8" s="28" t="str">
        <x:v>Not Started</x:v>
      </x:c>
      <x:c r="H8" s="28" t="str"/>
    </x:row>
    <x:row r="9">
      <x:c r="A9" s="28" t="str">
        <x:v>3.5</x:v>
      </x:c>
      <x:c r="B9" s="28" t="str">
        <x:v>ASO Lead Nurture Requested, Qualified Lead Follow Up, Opportunity Progression, Quote Proposal, Order Confirmation, Onboarding</x:v>
      </x:c>
      <x:c r="C9" s="28" t="str"/>
      <x:c r="D9" s="28" t="str">
        <x:v>Triggers ready/published</x:v>
      </x:c>
      <x:c r="E9" s="28" t="str">
        <x:v>Visible/configured in the correct solution/component</x:v>
      </x:c>
      <x:c r="F9" s="28" t="str">
        <x:v>Do not send customer lifecycle communications through Outlook, Power Automate, Sales agents, or Foundry.</x:v>
      </x:c>
      <x:c r="G9" s="28" t="str">
        <x:v>Not Started</x:v>
      </x:c>
      <x:c r="H9" s="28" t="str"/>
    </x:row>
    <x:row r="10">
      <x:c r="A10" s="28" t="str">
        <x:v>3.6</x:v>
      </x:c>
      <x:c r="B10" s="28" t="str">
        <x:v>Lifecycle=Lead; Communication State=Eligible; Consent=OptedIn; Not Active</x:v>
      </x:c>
      <x:c r="C10" s="28" t="str"/>
      <x:c r="D10" s="28" t="str">
        <x:v>Segment published</x:v>
      </x:c>
      <x:c r="E10" s="28" t="str">
        <x:v>Visible/configured in the correct solution/component</x:v>
      </x:c>
      <x:c r="F10" s="28" t="str">
        <x:v>Do not send customer lifecycle communications through Outlook, Power Automate, Sales agents, or Foundry.</x:v>
      </x:c>
      <x:c r="G10" s="28" t="str">
        <x:v>Not Started</x:v>
      </x:c>
      <x:c r="H10" s="28" t="str"/>
    </x:row>
    <x:row r="11">
      <x:c r="A11" s="28" t="str">
        <x:v>3.7</x:v>
      </x:c>
      <x:c r="B11" s="28" t="str">
        <x:v>QualifiedLead ready segment</x:v>
      </x:c>
      <x:c r="C11" s="28" t="str"/>
      <x:c r="D11" s="28" t="str">
        <x:v>Segment published</x:v>
      </x:c>
      <x:c r="E11" s="28" t="str">
        <x:v>Visible/configured in the correct solution/component</x:v>
      </x:c>
      <x:c r="F11" s="28" t="str">
        <x:v>Do not send customer lifecycle communications through Outlook, Power Automate, Sales agents, or Foundry.</x:v>
      </x:c>
      <x:c r="G11" s="28" t="str">
        <x:v>Not Started</x:v>
      </x:c>
      <x:c r="H11" s="28" t="str"/>
    </x:row>
    <x:row r="12">
      <x:c r="A12" s="28" t="str">
        <x:v>3.8</x:v>
      </x:c>
      <x:c r="B12" s="28" t="str">
        <x:v>Opportunity/QuoteProposal eligible contacts</x:v>
      </x:c>
      <x:c r="C12" s="28" t="str"/>
      <x:c r="D12" s="28" t="str">
        <x:v>Segment published</x:v>
      </x:c>
      <x:c r="E12" s="28" t="str">
        <x:v>Visible/configured in the correct solution/component</x:v>
      </x:c>
      <x:c r="F12" s="28" t="str">
        <x:v>Do not send customer lifecycle communications through Outlook, Power Automate, Sales agents, or Foundry.</x:v>
      </x:c>
      <x:c r="G12" s="28" t="str">
        <x:v>Not Started</x:v>
      </x:c>
      <x:c r="H12" s="28" t="str"/>
    </x:row>
    <x:row r="13">
      <x:c r="A13" s="28" t="str">
        <x:v>3.9</x:v>
      </x:c>
      <x:c r="B13" s="28" t="str">
        <x:v>Lifecycle segments</x:v>
      </x:c>
      <x:c r="C13" s="28" t="str"/>
      <x:c r="D13" s="28" t="str">
        <x:v>Segments published</x:v>
      </x:c>
      <x:c r="E13" s="28" t="str">
        <x:v>Visible/configured in the correct solution/component</x:v>
      </x:c>
      <x:c r="F13" s="28" t="str">
        <x:v>Do not send customer lifecycle communications through Outlook, Power Automate, Sales agents, or Foundry.</x:v>
      </x:c>
      <x:c r="G13" s="28" t="str">
        <x:v>Not Started</x:v>
      </x:c>
      <x:c r="H13" s="28" t="str"/>
    </x:row>
    <x:row r="14">
      <x:c r="A14" s="28" t="str">
        <x:v>3.10</x:v>
      </x:c>
      <x:c r="B14" s="28" t="str">
        <x:v>Lead nurture, QL follow-up, opportunity, quote, order, onboarding, retention, expansion</x:v>
      </x:c>
      <x:c r="C14" s="28" t="str"/>
      <x:c r="D14" s="28" t="str">
        <x:v>Emails approved/test-ready</x:v>
      </x:c>
      <x:c r="E14" s="28" t="str">
        <x:v>Visible/configured in the correct solution/component</x:v>
      </x:c>
      <x:c r="F14" s="28" t="str">
        <x:v>Do not send customer lifecycle communications through Outlook, Power Automate, Sales agents, or Foundry.</x:v>
      </x:c>
      <x:c r="G14" s="28" t="str">
        <x:v>Not Started</x:v>
      </x:c>
      <x:c r="H14" s="28" t="str"/>
    </x:row>
    <x:row r="15">
      <x:c r="A15" s="28" t="str">
        <x:v>3.11</x:v>
      </x:c>
      <x:c r="B15" s="28" t="str">
        <x:v>Segment or trigger entry, email, wait, branches, custom action</x:v>
      </x:c>
      <x:c r="C15" s="28" t="str"/>
      <x:c r="D15" s="28" t="str">
        <x:v>Journey tested/published if allowed</x:v>
      </x:c>
      <x:c r="E15" s="28" t="str">
        <x:v>Visible/configured in the correct solution/component</x:v>
      </x:c>
      <x:c r="F15" s="28" t="str">
        <x:v>Do not send customer lifecycle communications through Outlook, Power Automate, Sales agents, or Foundry.</x:v>
      </x:c>
      <x:c r="G15" s="28" t="str">
        <x:v>Not Started</x:v>
      </x:c>
      <x:c r="H15" s="28" t="str"/>
    </x:row>
    <x:row r="16">
      <x:c r="A16" s="28" t="str">
        <x:v>3.12</x:v>
      </x:c>
      <x:c r="B16" s="28" t="str">
        <x:v>Follow-up and task signal</x:v>
      </x:c>
      <x:c r="C16" s="28" t="str"/>
      <x:c r="D16" s="28" t="str">
        <x:v>Journey tested/published if allowed</x:v>
      </x:c>
      <x:c r="E16" s="28" t="str">
        <x:v>Visible/configured in the correct solution/component</x:v>
      </x:c>
      <x:c r="F16" s="28" t="str">
        <x:v>Do not send customer lifecycle communications through Outlook, Power Automate, Sales agents, or Foundry.</x:v>
      </x:c>
      <x:c r="G16" s="28" t="str">
        <x:v>Not Started</x:v>
      </x:c>
      <x:c r="H16" s="28" t="str"/>
    </x:row>
    <x:row r="17">
      <x:c r="A17" s="28" t="str">
        <x:v>3.13</x:v>
      </x:c>
      <x:c r="B17" s="28" t="str">
        <x:v>Stage-specific engagement</x:v>
      </x:c>
      <x:c r="C17" s="28" t="str"/>
      <x:c r="D17" s="28" t="str">
        <x:v>Journey tested/published if allowed</x:v>
      </x:c>
      <x:c r="E17" s="28" t="str">
        <x:v>Visible/configured in the correct solution/component</x:v>
      </x:c>
      <x:c r="F17" s="28" t="str">
        <x:v>Do not send customer lifecycle communications through Outlook, Power Automate, Sales agents, or Foundry.</x:v>
      </x:c>
      <x:c r="G17" s="28" t="str">
        <x:v>Not Started</x:v>
      </x:c>
      <x:c r="H17" s="28" t="str"/>
    </x:row>
    <x:row r="18">
      <x:c r="A18" s="28" t="str">
        <x:v>3.14</x:v>
      </x:c>
      <x:c r="B18" s="28" t="str">
        <x:v>Proposal communication and engagement tracking</x:v>
      </x:c>
      <x:c r="C18" s="28" t="str"/>
      <x:c r="D18" s="28" t="str">
        <x:v>Journey tested/published if allowed</x:v>
      </x:c>
      <x:c r="E18" s="28" t="str">
        <x:v>Visible/configured in the correct solution/component</x:v>
      </x:c>
      <x:c r="F18" s="28" t="str">
        <x:v>Do not send customer lifecycle communications through Outlook, Power Automate, Sales agents, or Foundry.</x:v>
      </x:c>
      <x:c r="G18" s="28" t="str">
        <x:v>Not Started</x:v>
      </x:c>
      <x:c r="H18" s="28" t="str"/>
    </x:row>
    <x:row r="19">
      <x:c r="A19" s="28" t="str">
        <x:v>3.15</x:v>
      </x:c>
      <x:c r="B19" s="28" t="str">
        <x:v>Only after SAP response validated later</x:v>
      </x:c>
      <x:c r="C19" s="28" t="str"/>
      <x:c r="D19" s="28" t="str">
        <x:v>Journey draft/test only</x:v>
      </x:c>
      <x:c r="E19" s="28" t="str">
        <x:v>Visible/configured in the correct solution/component</x:v>
      </x:c>
      <x:c r="F19" s="28" t="str">
        <x:v>Do not send customer lifecycle communications through Outlook, Power Automate, Sales agents, or Foundry.</x:v>
      </x:c>
      <x:c r="G19" s="28" t="str">
        <x:v>Not Started</x:v>
      </x:c>
      <x:c r="H19" s="28" t="str"/>
    </x:row>
    <x:row r="20">
      <x:c r="A20" s="28" t="str">
        <x:v>3.16</x:v>
      </x:c>
      <x:c r="B20" s="28" t="str">
        <x:v>Communication State, Journey Status, Journey ID/Name, Last Interaction, Consent, Hold Reason, Ledger rows</x:v>
      </x:c>
      <x:c r="C20" s="28" t="str"/>
      <x:c r="D20" s="28" t="str">
        <x:v>Writeback mapping registered</x:v>
      </x:c>
      <x:c r="E20" s="28" t="str">
        <x:v>Visible/configured in the correct solution/component</x:v>
      </x:c>
      <x:c r="F20" s="28" t="str">
        <x:v>Do not send customer lifecycle communications through Outlook, Power Automate, Sales agents, or Foundry.</x:v>
      </x:c>
      <x:c r="G20" s="28" t="str">
        <x:v>Not Started</x:v>
      </x:c>
      <x:c r="H20" s="28" t="str"/>
    </x:row>
    <x:row r="21">
      <x:c r="A21" s="28" t="str">
        <x:v>3.17</x:v>
      </x:c>
      <x:c r="B21" s="28" t="str">
        <x:v>Confirm only CIJ handles outbound lifecycle communications</x:v>
      </x:c>
      <x:c r="C21" s="28" t="str"/>
      <x:c r="D21" s="28" t="str">
        <x:v>Gate signed off</x:v>
      </x:c>
      <x:c r="E21" s="28" t="str">
        <x:v>Visible/configured in the correct solution/component</x:v>
      </x:c>
      <x:c r="F21" s="28" t="str">
        <x:v>Do not send customer lifecycle communications through Outlook, Power Automate, Sales agents, or Foundry.</x:v>
      </x:c>
      <x:c r="G21" s="28" t="str">
        <x:v>Not Started</x:v>
      </x:c>
      <x:c r="H21" s="28" t="str"/>
    </x:row>
  </x:sheetData>
  <x:mergeCells>
    <x:mergeCell ref="A1:J1"/>
    <x:mergeCell ref="A2:J2"/>
  </x:mergeCells>
  <x:dataValidations count="1">
    <x:dataValidation type="list" sqref="G5:G21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bc880129844bb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18" hidden="0" customWidth="1"/>
    <x:col min="5" max="5" width="40" hidden="0" customWidth="1"/>
    <x:col min="6" max="6" width="20" hidden="0" customWidth="1"/>
    <x:col min="7" max="7" width="16" hidden="0" customWidth="1"/>
    <x:col min="8" max="8" width="14" hidden="0" customWidth="1"/>
    <x:col min="9" max="9" width="34" hidden="0" customWidth="1"/>
    <x:col min="10" max="10" width="30" hidden="0" customWidth="1"/>
  </x:cols>
  <x:sheetData>
    <x:row r="1" ht="28" customHeight="1">
      <x:c r="A1" s="6" t="str">
        <x:v>Phase 3 Configuration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Names, values, IDs, owners and environment-specific configuration.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Type</x:v>
      </x:c>
      <x:c r="B4" s="51" t="str">
        <x:v>Name / schema</x:v>
      </x:c>
      <x:c r="C4" s="51" t="str">
        <x:v>Purpose / value</x:v>
      </x:c>
      <x:c r="D4" s="51" t="str">
        <x:v>Required level</x:v>
      </x:c>
      <x:c r="E4" s="51" t="str">
        <x:v>MVP note</x:v>
      </x:c>
      <x:c r="F4" s="51" t="str">
        <x:v>Owner</x:v>
      </x:c>
      <x:c r="G4" s="51" t="str">
        <x:v>Status</x:v>
      </x:c>
      <x:c r="H4" s="51" t="str">
        <x:v>Environment</x:v>
      </x:c>
      <x:c r="I4" s="51" t="str">
        <x:v>Actual value / ID</x:v>
      </x:c>
      <x:c r="J4" s="51" t="str">
        <x:v>Evidence / link</x:v>
      </x:c>
    </x:row>
    <x:row r="5">
      <x:c r="A5" s="28" t="str">
        <x:v>Compliance Profile</x:v>
      </x:c>
      <x:c r="B5" s="28" t="str">
        <x:v>Global Commercial</x:v>
      </x:c>
      <x:c r="C5" s="28" t="str">
        <x:v>Default commercial compliance profile</x:v>
      </x:c>
      <x:c r="D5" s="28" t="str">
        <x:v>Required</x:v>
      </x:c>
      <x:c r="E5" s="28" t="str">
        <x:v>Use tenant/regional equivalent if needed</x:v>
      </x:c>
      <x:c r="F5" s="28" t="str"/>
      <x:c r="G5" s="28" t="str">
        <x:v>Not Started</x:v>
      </x:c>
      <x:c r="H5" s="28" t="str">
        <x:v>DEV</x:v>
      </x:c>
      <x:c r="I5" s="28" t="str"/>
      <x:c r="J5" s="28" t="str"/>
    </x:row>
    <x:row r="6">
      <x:c r="A6" s="28" t="str">
        <x:v>Purpose</x:v>
      </x:c>
      <x:c r="B6" s="28" t="str">
        <x:v>Sales Lifecycle</x:v>
      </x:c>
      <x:c r="C6" s="28" t="str">
        <x:v>Lifecycle communication consent purpose</x:v>
      </x:c>
      <x:c r="D6" s="28" t="str">
        <x:v>Required</x:v>
      </x:c>
      <x:c r="E6" s="28" t="str">
        <x:v>Attach to email/journeys</x:v>
      </x:c>
      <x:c r="F6" s="28" t="str"/>
      <x:c r="G6" s="28" t="str">
        <x:v>Not Started</x:v>
      </x:c>
      <x:c r="H6" s="28" t="str">
        <x:v>DEV</x:v>
      </x:c>
      <x:c r="I6" s="28" t="str"/>
      <x:c r="J6" s="28" t="str"/>
    </x:row>
    <x:row r="7">
      <x:c r="A7" s="28" t="str">
        <x:v>Trigger</x:v>
      </x:c>
      <x:c r="B7" s="28" t="str">
        <x:v>ASO Lead Nurture Requested</x:v>
      </x:c>
      <x:c r="C7" s="28" t="str">
        <x:v>Lead lifecycle journey trigger</x:v>
      </x:c>
      <x:c r="D7" s="28" t="str">
        <x:v>Recommended</x:v>
      </x:c>
      <x:c r="E7" s="28" t="str">
        <x:v>Use Dataverse/custom trigger per tenant</x:v>
      </x:c>
      <x:c r="F7" s="28" t="str"/>
      <x:c r="G7" s="28" t="str">
        <x:v>Not Started</x:v>
      </x:c>
      <x:c r="H7" s="28" t="str">
        <x:v>DEV</x:v>
      </x:c>
      <x:c r="I7" s="28" t="str"/>
      <x:c r="J7" s="28" t="str"/>
    </x:row>
    <x:row r="8">
      <x:c r="A8" s="28" t="str">
        <x:v>Segment</x:v>
      </x:c>
      <x:c r="B8" s="28" t="str">
        <x:v>Lead - Nurture Ready</x:v>
      </x:c>
      <x:c r="C8" s="28" t="str">
        <x:v>Lead nurture eligible records</x:v>
      </x:c>
      <x:c r="D8" s="28" t="str">
        <x:v>Required</x:v>
      </x:c>
      <x:c r="E8" s="28" t="str">
        <x:v>Based on normalized Dataverse fields</x:v>
      </x:c>
      <x:c r="F8" s="28" t="str"/>
      <x:c r="G8" s="28" t="str">
        <x:v>Not Started</x:v>
      </x:c>
      <x:c r="H8" s="28" t="str">
        <x:v>DEV</x:v>
      </x:c>
      <x:c r="I8" s="28" t="str"/>
      <x:c r="J8" s="28" t="str"/>
    </x:row>
    <x:row r="9">
      <x:c r="A9" s="28" t="str">
        <x:v>Email</x:v>
      </x:c>
      <x:c r="B9" s="28" t="str">
        <x:v>EML - Lead Nurture - Initial</x:v>
      </x:c>
      <x:c r="C9" s="28" t="str">
        <x:v>Initial lead nurture asset</x:v>
      </x:c>
      <x:c r="D9" s="28" t="str">
        <x:v>Recommended</x:v>
      </x:c>
      <x:c r="E9" s="28" t="str">
        <x:v>Must include unsubscribe/preferences</x:v>
      </x:c>
      <x:c r="F9" s="28" t="str"/>
      <x:c r="G9" s="28" t="str">
        <x:v>Not Started</x:v>
      </x:c>
      <x:c r="H9" s="28" t="str">
        <x:v>DEV</x:v>
      </x:c>
      <x:c r="I9" s="28" t="str"/>
      <x:c r="J9" s="28" t="str"/>
    </x:row>
    <x:row r="10">
      <x:c r="A10" s="28" t="str">
        <x:v>Journey</x:v>
      </x:c>
      <x:c r="B10" s="28" t="str">
        <x:v>JRNY - ASO - Lead Nurture - v1</x:v>
      </x:c>
      <x:c r="C10" s="28" t="str">
        <x:v>Lead nurture journey</x:v>
      </x:c>
      <x:c r="D10" s="28" t="str">
        <x:v>Recommended</x:v>
      </x:c>
      <x:c r="E10" s="28" t="str">
        <x:v>Publish only after compliance validation</x:v>
      </x:c>
      <x:c r="F10" s="28" t="str"/>
      <x:c r="G10" s="28" t="str">
        <x:v>Not Started</x:v>
      </x:c>
      <x:c r="H10" s="28" t="str">
        <x:v>DEV</x:v>
      </x:c>
      <x:c r="I10" s="28" t="str"/>
      <x:c r="J10" s="28" t="str"/>
    </x:row>
  </x:sheetData>
  <x:mergeCells>
    <x:mergeCell ref="A1:J1"/>
    <x:mergeCell ref="A2:J2"/>
  </x:mergeCells>
  <x:dataValidations count="1">
    <x:dataValidation type="list" sqref="G5:G1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96fe9a1b3b4d0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8" hidden="0" customWidth="1"/>
    <x:col min="3" max="3" width="48" hidden="0" customWidth="1"/>
    <x:col min="4" max="4" width="20" hidden="0" customWidth="1"/>
    <x:col min="5" max="5" width="14" hidden="0" customWidth="1"/>
    <x:col min="6" max="6" width="14" hidden="0" customWidth="1"/>
    <x:col min="7" max="7" width="34" hidden="0" customWidth="1"/>
    <x:col min="8" max="8" width="36" hidden="0" customWidth="1"/>
  </x:cols>
  <x:sheetData>
    <x:row r="1" ht="28" customHeight="1">
      <x:c r="A1" s="6" t="str">
        <x:v>Phase 3 Validation Checklist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Gate checks that must pass before the next major phase.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Validation item</x:v>
      </x:c>
      <x:c r="C4" s="51" t="str">
        <x:v>Expected evidence</x:v>
      </x:c>
      <x:c r="D4" s="51" t="str">
        <x:v>Owner</x:v>
      </x:c>
      <x:c r="E4" s="51" t="str">
        <x:v>Criticality</x:v>
      </x:c>
      <x:c r="F4" s="51" t="str">
        <x:v>Passed?</x:v>
      </x:c>
      <x:c r="G4" s="51" t="str">
        <x:v>Evidence / link</x:v>
      </x:c>
      <x:c r="H4" s="51" t="str">
        <x:v>Notes</x:v>
      </x:c>
    </x:row>
    <x:row r="5">
      <x:c r="A5" s="28" t="str">
        <x:v>VAL-3.1</x:v>
      </x:c>
      <x:c r="B5" s="28" t="str">
        <x:v>Customer Insights - Journeys app is available or trial limitation logged</x:v>
      </x:c>
      <x:c r="C5" s="28" t="str">
        <x:v>Screenshot, record URL, export file, test result, or decision log entry</x:v>
      </x:c>
      <x:c r="D5" s="28" t="str"/>
      <x:c r="E5" s="28" t="str">
        <x:v>High</x:v>
      </x:c>
      <x:c r="F5" s="28" t="str">
        <x:v>No</x:v>
      </x:c>
      <x:c r="G5" s="28" t="str"/>
      <x:c r="H5" s="28" t="str"/>
    </x:row>
    <x:row r="6">
      <x:c r="A6" s="28" t="str">
        <x:v>VAL-3.2</x:v>
      </x:c>
      <x:c r="B6" s="28" t="str">
        <x:v>Compliance profile and topics are published or blockers logged</x:v>
      </x:c>
      <x:c r="C6" s="28" t="str">
        <x:v>Screenshot, record URL, export file, test result, or decision log entry</x:v>
      </x:c>
      <x:c r="D6" s="28" t="str"/>
      <x:c r="E6" s="28" t="str">
        <x:v>High</x:v>
      </x:c>
      <x:c r="F6" s="28" t="str">
        <x:v>No</x:v>
      </x:c>
      <x:c r="G6" s="28" t="str"/>
      <x:c r="H6" s="28" t="str"/>
    </x:row>
    <x:row r="7">
      <x:c r="A7" s="28" t="str">
        <x:v>VAL-3.3</x:v>
      </x:c>
      <x:c r="B7" s="28" t="str">
        <x:v>No lifecycle communication is sent outside Customer Insights</x:v>
      </x:c>
      <x:c r="C7" s="28" t="str">
        <x:v>Screenshot, record URL, export file, test result, or decision log entry</x:v>
      </x:c>
      <x:c r="D7" s="28" t="str"/>
      <x:c r="E7" s="28" t="str">
        <x:v>High</x:v>
      </x:c>
      <x:c r="F7" s="28" t="str">
        <x:v>No</x:v>
      </x:c>
      <x:c r="G7" s="28" t="str"/>
      <x:c r="H7" s="28" t="str"/>
    </x:row>
    <x:row r="8">
      <x:c r="A8" s="28" t="str">
        <x:v>VAL-3.4</x:v>
      </x:c>
      <x:c r="B8" s="28" t="str">
        <x:v>Segments use normalized Dataverse fields from Phase 2</x:v>
      </x:c>
      <x:c r="C8" s="28" t="str">
        <x:v>Screenshot, record URL, export file, test result, or decision log entry</x:v>
      </x:c>
      <x:c r="D8" s="28" t="str"/>
      <x:c r="E8" s="28" t="str">
        <x:v>High</x:v>
      </x:c>
      <x:c r="F8" s="28" t="str">
        <x:v>No</x:v>
      </x:c>
      <x:c r="G8" s="28" t="str"/>
      <x:c r="H8" s="28" t="str"/>
    </x:row>
    <x:row r="9">
      <x:c r="A9" s="28" t="str">
        <x:v>VAL-3.5</x:v>
      </x:c>
      <x:c r="B9" s="28" t="str">
        <x:v>Email assets include compliance/unsubscribe requirements</x:v>
      </x:c>
      <x:c r="C9" s="28" t="str">
        <x:v>Screenshot, record URL, export file, test result, or decision log entry</x:v>
      </x:c>
      <x:c r="D9" s="28" t="str"/>
      <x:c r="E9" s="28" t="str">
        <x:v>High</x:v>
      </x:c>
      <x:c r="F9" s="28" t="str">
        <x:v>No</x:v>
      </x:c>
      <x:c r="G9" s="28" t="str"/>
      <x:c r="H9" s="28" t="str"/>
    </x:row>
    <x:row r="10">
      <x:c r="A10" s="28" t="str">
        <x:v>VAL-3.6</x:v>
      </x:c>
      <x:c r="B10" s="28" t="str">
        <x:v>Journey names and IDs are recorded</x:v>
      </x:c>
      <x:c r="C10" s="28" t="str">
        <x:v>Screenshot, record URL, export file, test result, or decision log entry</x:v>
      </x:c>
      <x:c r="D10" s="28" t="str"/>
      <x:c r="E10" s="28" t="str">
        <x:v>High</x:v>
      </x:c>
      <x:c r="F10" s="28" t="str">
        <x:v>No</x:v>
      </x:c>
      <x:c r="G10" s="28" t="str"/>
      <x:c r="H10" s="28" t="str"/>
    </x:row>
    <x:row r="11">
      <x:c r="A11" s="28" t="str">
        <x:v>VAL-3.7</x:v>
      </x:c>
      <x:c r="B11" s="28" t="str">
        <x:v>Writeback mapping to Dataverse fields is documented</x:v>
      </x:c>
      <x:c r="C11" s="28" t="str">
        <x:v>Screenshot, record URL, export file, test result, or decision log entry</x:v>
      </x:c>
      <x:c r="D11" s="28" t="str"/>
      <x:c r="E11" s="28" t="str">
        <x:v>High</x:v>
      </x:c>
      <x:c r="F11" s="28" t="str">
        <x:v>No</x:v>
      </x:c>
      <x:c r="G11" s="28" t="str"/>
      <x:c r="H11" s="28" t="str"/>
    </x:row>
  </x:sheetData>
  <x:mergeCells>
    <x:mergeCell ref="A1:J1"/>
    <x:mergeCell ref="A2:J2"/>
  </x:mergeCells>
  <x:dataValidations count="2">
    <x:dataValidation type="list" sqref="F5:F11">
      <x:formula1>"Yes,No,Partial,N/A"</x:formula1>
    </x:dataValidation>
    <x:dataValidation type="list" sqref="E5:E1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4cc3274a7a485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46" hidden="0" customWidth="1"/>
    <x:col min="5" max="5" width="42" hidden="0" customWidth="1"/>
    <x:col min="6" max="6" width="44" hidden="0" customWidth="1"/>
    <x:col min="7" max="7" width="20" hidden="0" customWidth="1"/>
    <x:col min="8" max="8" width="14" hidden="0" customWidth="1"/>
    <x:col min="9" max="9" width="26" hidden="0" customWidth="1"/>
    <x:col min="10" max="10" width="36" hidden="0" customWidth="1"/>
  </x:cols>
  <x:sheetData>
    <x:row r="1" ht="28" customHeight="1">
      <x:c r="A1" s="6" t="str">
        <x:v>Phase 3 Decision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Architecture, MVP shortcut, security, ALM, data, integration and product decisions.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Decision ID</x:v>
      </x:c>
      <x:c r="B4" s="51" t="str">
        <x:v>Date</x:v>
      </x:c>
      <x:c r="C4" s="51" t="str">
        <x:v>Decision area</x:v>
      </x:c>
      <x:c r="D4" s="51" t="str">
        <x:v>Decision</x:v>
      </x:c>
      <x:c r="E4" s="51" t="str">
        <x:v>Options considered</x:v>
      </x:c>
      <x:c r="F4" s="51" t="str">
        <x:v>Rationale</x:v>
      </x:c>
      <x:c r="G4" s="51" t="str">
        <x:v>Owner</x:v>
      </x:c>
      <x:c r="H4" s="51" t="str">
        <x:v>Status</x:v>
      </x:c>
      <x:c r="I4" s="51" t="str">
        <x:v>Impacted phase/component</x:v>
      </x:c>
      <x:c r="J4" s="51" t="str">
        <x:v>Follow-up action</x:v>
      </x:c>
    </x:row>
    <x:row r="5">
      <x:c r="A5" s="28" t="str">
        <x:v>DEC-3.001</x:v>
      </x:c>
      <x:c r="B5" s="28" t="n">
        <x:v>46161</x:v>
      </x:c>
      <x:c r="C5" s="28" t="str">
        <x:v>Scope</x:v>
      </x:c>
      <x:c r="D5" s="28" t="str">
        <x:v>Use this workbook as the control file for Phase 3.</x:v>
      </x:c>
      <x:c r="E5" s="28" t="str">
        <x:v>Use ad hoc notes; use one master tracker; use phase workbook</x:v>
      </x:c>
      <x:c r="F5" s="28" t="str">
        <x:v>Separate phase workbook gives clear gate control and upgrade path.</x:v>
      </x:c>
      <x:c r="G5" s="28" t="str">
        <x:v>Solution Architect</x:v>
      </x:c>
      <x:c r="H5" s="28" t="str">
        <x:v>Approved</x:v>
      </x:c>
      <x:c r="I5" s="28" t="str">
        <x:v>Phase 3</x:v>
      </x:c>
      <x:c r="J5" s="28" t="str"/>
    </x:row>
    <x:row r="6">
      <x:c r="A6" s="28" t="str">
        <x:v>DEC-3.002</x:v>
      </x:c>
      <x:c r="B6" s="28" t="n">
        <x:v>46161</x:v>
      </x:c>
      <x:c r="C6" s="28" t="str">
        <x:v>MVP adaptation</x:v>
      </x:c>
      <x:c r="D6" s="28" t="str">
        <x:v>All demo shortcuts must be recorded in Production Gap Log.</x:v>
      </x:c>
      <x:c r="E6" s="28" t="str">
        <x:v>Ignore shortcuts; document later; record immediately</x:v>
      </x:c>
      <x:c r="F6" s="28" t="str">
        <x:v>Prevents MVP shortcuts becoming hidden production risks.</x:v>
      </x:c>
      <x:c r="G6" s="28" t="str">
        <x:v>Project Manager</x:v>
      </x:c>
      <x:c r="H6" s="28" t="str">
        <x:v>Approved</x:v>
      </x:c>
      <x:c r="I6" s="28" t="str">
        <x:v>Phase 3</x:v>
      </x:c>
      <x:c r="J6" s="28" t="str"/>
    </x:row>
  </x:sheetData>
  <x:mergeCells>
    <x:mergeCell ref="A1:J1"/>
    <x:mergeCell ref="A2:J2"/>
  </x:mergeCells>
  <x:dataValidations count="1">
    <x:dataValidation type="list" sqref="H5:H300">
      <x:formula1>"Proposed,Approved,Rejected,Superseded"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43520f4e0f4fd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2" hidden="0" customWidth="1"/>
    <x:col min="4" max="4" width="46" hidden="0" customWidth="1"/>
    <x:col min="5" max="5" width="34" hidden="0" customWidth="1"/>
    <x:col min="6" max="6" width="16" hidden="0" customWidth="1"/>
    <x:col min="7" max="7" width="44" hidden="0" customWidth="1"/>
    <x:col min="8" max="8" width="14" hidden="0" customWidth="1"/>
    <x:col min="9" max="9" width="18" hidden="0" customWidth="1"/>
    <x:col min="10" max="10" width="14" hidden="0" customWidth="1"/>
    <x:col min="11" max="11" width="36" hidden="0" customWidth="1"/>
  </x:cols>
  <x:sheetData>
    <x:row r="1" ht="28" customHeight="1">
      <x:c r="A1" s="6" t="str">
        <x:v>Phase 3 Risk &amp; Issue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delivery risks, blockers, mitigations, and resolution evidence.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Type</x:v>
      </x:c>
      <x:c r="C4" s="51" t="str">
        <x:v>Area</x:v>
      </x:c>
      <x:c r="D4" s="51" t="str">
        <x:v>Risk / issue</x:v>
      </x:c>
      <x:c r="E4" s="51" t="str">
        <x:v>Impact</x:v>
      </x:c>
      <x:c r="F4" s="51" t="str">
        <x:v>Probability</x:v>
      </x:c>
      <x:c r="G4" s="51" t="str">
        <x:v>Mitigation / action</x:v>
      </x:c>
      <x:c r="H4" s="51" t="str">
        <x:v>Status</x:v>
      </x:c>
      <x:c r="I4" s="51" t="str">
        <x:v>Owner</x:v>
      </x:c>
      <x:c r="J4" s="51" t="str">
        <x:v>Due date</x:v>
      </x:c>
      <x:c r="K4" s="51" t="str">
        <x:v>Evidence / notes</x:v>
      </x:c>
    </x:row>
    <x:row r="5">
      <x:c r="A5" s="28" t="str">
        <x:v>RISK-3.001</x:v>
      </x:c>
      <x:c r="B5" s="28" t="str">
        <x:v>Risk</x:v>
      </x:c>
      <x:c r="C5" s="28" t="str">
        <x:v>MVP constraints</x:v>
      </x:c>
      <x:c r="D5" s="28" t="str">
        <x:v>Trial/free-tier limitations may block enterprise components.</x:v>
      </x:c>
      <x:c r="E5" s="28" t="str">
        <x:v>May require mocks/manual validation</x:v>
      </x:c>
      <x:c r="F5" s="28" t="str">
        <x:v>Medium</x:v>
      </x:c>
      <x:c r="G5" s="28" t="str">
        <x:v>Document blocker and production gap; preserve target architecture boundary.</x:v>
      </x:c>
      <x:c r="H5" s="28" t="str">
        <x:v>Open</x:v>
      </x:c>
      <x:c r="I5" s="28" t="str"/>
      <x:c r="J5" s="28" t="str"/>
      <x:c r="K5" s="28" t="str"/>
    </x:row>
    <x:row r="6">
      <x:c r="A6" s="28" t="str">
        <x:v>RISK-3.002</x:v>
      </x:c>
      <x:c r="B6" s="28" t="str">
        <x:v>Risk</x:v>
      </x:c>
      <x:c r="C6" s="28" t="str">
        <x:v>ALM</x:v>
      </x:c>
      <x:c r="D6" s="28" t="str">
        <x:v>Single DEV environment can hide promotion issues.</x:v>
      </x:c>
      <x:c r="E6" s="28" t="str">
        <x:v>Production upgrade risk</x:v>
      </x:c>
      <x:c r="F6" s="28" t="str">
        <x:v>Medium</x:v>
      </x:c>
      <x:c r="G6" s="28" t="str">
        <x:v>Export solution backups; document future environment runway.</x:v>
      </x:c>
      <x:c r="H6" s="28" t="str">
        <x:v>Open</x:v>
      </x:c>
      <x:c r="I6" s="28" t="str"/>
      <x:c r="J6" s="28" t="str"/>
      <x:c r="K6" s="28" t="str"/>
    </x:row>
    <x:row r="7">
      <x:c r="A7" s="28" t="str">
        <x:v>RISK-3.003</x:v>
      </x:c>
      <x:c r="B7" s="28" t="str">
        <x:v>Risk</x:v>
      </x:c>
      <x:c r="C7" s="28" t="str">
        <x:v>Architecture boundary</x:v>
      </x:c>
      <x:c r="D7" s="28" t="str">
        <x:v>Do not send customer lifecycle communications through Outlook, Power Automate, Sales agents, or Foundry.</x:v>
      </x:c>
      <x:c r="E7" s="28" t="str">
        <x:v>Supportability and governance risk</x:v>
      </x:c>
      <x:c r="F7" s="28" t="str">
        <x:v>Low</x:v>
      </x:c>
      <x:c r="G7" s="28" t="str">
        <x:v>Use validation checklist and phase gate before progressing.</x:v>
      </x:c>
      <x:c r="H7" s="28" t="str">
        <x:v>Open</x:v>
      </x:c>
      <x:c r="I7" s="28" t="str"/>
      <x:c r="J7" s="28" t="str"/>
      <x:c r="K7" s="28" t="str"/>
    </x:row>
  </x:sheetData>
  <x:mergeCells>
    <x:mergeCell ref="A1:J1"/>
    <x:mergeCell ref="A2:J2"/>
  </x:mergeCells>
  <x:dataValidations count="3">
    <x:dataValidation type="list" sqref="B5:B300">
      <x:formula1>"Risk,Issue,Dependency,Assumption"</x:formula1>
    </x:dataValidation>
    <x:dataValidation type="list" sqref="H5:H300">
      <x:formula1>"Open,In Review,Resolved,Closed"</x:formula1>
    </x:dataValidation>
    <x:dataValidation type="list" sqref="F5:F30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baf32f7f6a444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6" hidden="0" customWidth="1"/>
    <x:col min="6" max="6" width="20" hidden="0" customWidth="1"/>
    <x:col min="7" max="7" width="14" hidden="0" customWidth="1"/>
    <x:col min="8" max="8" width="18" hidden="0" customWidth="1"/>
    <x:col min="9" max="9" width="24" hidden="0" customWidth="1"/>
  </x:cols>
  <x:sheetData>
    <x:row r="1" ht="28" customHeight="1">
      <x:c r="A1" s="6" t="str">
        <x:v>Phase 3 Production Gap Log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Every MVP simplification must have a production risk and upgrade path.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Area</x:v>
      </x:c>
      <x:c r="B4" s="51" t="str">
        <x:v>MVP decision</x:v>
      </x:c>
      <x:c r="C4" s="51" t="str">
        <x:v>Production gap</x:v>
      </x:c>
      <x:c r="D4" s="51" t="str">
        <x:v>Risk / limitation</x:v>
      </x:c>
      <x:c r="E4" s="51" t="str">
        <x:v>Future production action</x:v>
      </x:c>
      <x:c r="F4" s="51" t="str">
        <x:v>Owner</x:v>
      </x:c>
      <x:c r="G4" s="51" t="str">
        <x:v>Status</x:v>
      </x:c>
      <x:c r="H4" s="51" t="str">
        <x:v>Target phase/date</x:v>
      </x:c>
      <x:c r="I4" s="51" t="str">
        <x:v>Decision reference</x:v>
      </x:c>
    </x:row>
    <x:row r="5">
      <x:c r="A5" s="28" t="str">
        <x:v>Sending domain</x:v>
      </x:c>
      <x:c r="B5" s="28" t="str">
        <x:v>Use trial/default or no-send mode</x:v>
      </x:c>
      <x:c r="C5" s="28" t="str">
        <x:v>No production domain authentication</x:v>
      </x:c>
      <x:c r="D5" s="28" t="str">
        <x:v>MVP-only limitation; assess before production</x:v>
      </x:c>
      <x:c r="E5" s="28" t="str">
        <x:v>Authenticate production domain before live send</x:v>
      </x:c>
      <x:c r="F5" s="28" t="str"/>
      <x:c r="G5" s="28" t="str">
        <x:v>Open</x:v>
      </x:c>
      <x:c r="H5" s="28" t="str"/>
      <x:c r="I5" s="28" t="str"/>
    </x:row>
    <x:row r="6">
      <x:c r="A6" s="28" t="str">
        <x:v>Compliance profile</x:v>
      </x:c>
      <x:c r="B6" s="28" t="str">
        <x:v>Use available profile settings</x:v>
      </x:c>
      <x:c r="C6" s="28" t="str">
        <x:v>May not match regional/legal operating model</x:v>
      </x:c>
      <x:c r="D6" s="28" t="str">
        <x:v>MVP-only limitation; assess before production</x:v>
      </x:c>
      <x:c r="E6" s="28" t="str">
        <x:v>Complete legal/compliance review</x:v>
      </x:c>
      <x:c r="F6" s="28" t="str"/>
      <x:c r="G6" s="28" t="str">
        <x:v>Open</x:v>
      </x:c>
      <x:c r="H6" s="28" t="str"/>
      <x:c r="I6" s="28" t="str"/>
    </x:row>
    <x:row r="7">
      <x:c r="A7" s="28" t="str">
        <x:v>Journey writeback</x:v>
      </x:c>
      <x:c r="B7" s="28" t="str">
        <x:v>Document mapping now</x:v>
      </x:c>
      <x:c r="C7" s="28" t="str">
        <x:v>Automated sync may wait for Phase 7</x:v>
      </x:c>
      <x:c r="D7" s="28" t="str">
        <x:v>MVP-only limitation; assess before production</x:v>
      </x:c>
      <x:c r="E7" s="28" t="str">
        <x:v>Implement Power Automate sync flows</x:v>
      </x:c>
      <x:c r="F7" s="28" t="str"/>
      <x:c r="G7" s="28" t="str">
        <x:v>Open</x:v>
      </x:c>
      <x:c r="H7" s="28" t="str"/>
      <x:c r="I7" s="28" t="str"/>
    </x:row>
  </x:sheetData>
  <x:mergeCells>
    <x:mergeCell ref="A1:J1"/>
    <x:mergeCell ref="A2:J2"/>
  </x:mergeCells>
  <x:dataValidations count="1">
    <x:dataValidation type="list" sqref="G5:G7">
      <x:formula1>"Open,Accepted,Mitigated,Closed"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7ce094f86c4a0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18" hidden="0" customWidth="1"/>
    <x:col min="4" max="4" width="42" hidden="0" customWidth="1"/>
    <x:col min="5" max="5" width="42" hidden="0" customWidth="1"/>
    <x:col min="6" max="6" width="20" hidden="0" customWidth="1"/>
    <x:col min="7" max="7" width="16" hidden="0" customWidth="1"/>
    <x:col min="8" max="8" width="36" hidden="0" customWidth="1"/>
  </x:cols>
  <x:sheetData>
    <x:row r="1" ht="28" customHeight="1">
      <x:c r="A1" s="6" t="str">
        <x:v>Phase 3 Security &amp; Controls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Security, compliance, data, integration, AI and ALM control checks.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Control area</x:v>
      </x:c>
      <x:c r="B4" s="51" t="str">
        <x:v>Control requirement</x:v>
      </x:c>
      <x:c r="C4" s="51" t="str">
        <x:v>Applies in this phase?</x:v>
      </x:c>
      <x:c r="D4" s="51" t="str">
        <x:v>MVP implementation</x:v>
      </x:c>
      <x:c r="E4" s="51" t="str">
        <x:v>Production expectation</x:v>
      </x:c>
      <x:c r="F4" s="51" t="str">
        <x:v>Owner</x:v>
      </x:c>
      <x:c r="G4" s="51" t="str">
        <x:v>Status</x:v>
      </x:c>
      <x:c r="H4" s="51" t="str">
        <x:v>Evidence / notes</x:v>
      </x:c>
    </x:row>
    <x:row r="5">
      <x:c r="A5" s="28" t="str">
        <x:v>ALM</x:v>
      </x:c>
      <x:c r="B5" s="28" t="str">
        <x:v>All changes are solution-aware; no default solution build</x:v>
      </x:c>
      <x:c r="C5" s="28" t="str">
        <x:v>Yes</x:v>
      </x:c>
      <x:c r="D5" s="28" t="str">
        <x:v>Use named ASO solution(s)</x:v>
      </x:c>
      <x:c r="E5" s="28" t="str">
        <x:v>Managed solution promotion with pipeline</x:v>
      </x:c>
      <x:c r="F5" s="28" t="str"/>
      <x:c r="G5" s="28" t="str">
        <x:v>Not Started</x:v>
      </x:c>
      <x:c r="H5" s="28" t="str"/>
    </x:row>
    <x:row r="6">
      <x:c r="A6" s="28" t="str">
        <x:v>Security</x:v>
      </x:c>
      <x:c r="B6" s="28" t="str">
        <x:v>Least privilege and admin access restrictions</x:v>
      </x:c>
      <x:c r="C6" s="28" t="str">
        <x:v>Yes</x:v>
      </x:c>
      <x:c r="D6" s="28" t="str">
        <x:v>Document roles; limit admin access</x:v>
      </x:c>
      <x:c r="E6" s="28" t="str">
        <x:v>RBAC/FLS fully enforced</x:v>
      </x:c>
      <x:c r="F6" s="28" t="str"/>
      <x:c r="G6" s="28" t="str">
        <x:v>Not Started</x:v>
      </x:c>
      <x:c r="H6" s="28" t="str"/>
    </x:row>
    <x:row r="7">
      <x:c r="A7" s="28" t="str">
        <x:v>Data integrity</x:v>
      </x:c>
      <x:c r="B7" s="28" t="str">
        <x:v>External IDs, keys, dedupe where applicable</x:v>
      </x:c>
      <x:c r="C7" s="28" t="str">
        <x:v>Conditional</x:v>
      </x:c>
      <x:c r="D7" s="28" t="str">
        <x:v>Create or document controls</x:v>
      </x:c>
      <x:c r="E7" s="28" t="str">
        <x:v>Automated enforcement</x:v>
      </x:c>
      <x:c r="F7" s="28" t="str"/>
      <x:c r="G7" s="28" t="str">
        <x:v>Not Started</x:v>
      </x:c>
      <x:c r="H7" s="28" t="str"/>
    </x:row>
    <x:row r="8">
      <x:c r="A8" s="28" t="str">
        <x:v>AI governance</x:v>
      </x:c>
      <x:c r="B8" s="28" t="str">
        <x:v>AI output advisory until validated by governed orchestration</x:v>
      </x:c>
      <x:c r="C8" s="28" t="str">
        <x:v>Conditional</x:v>
      </x:c>
      <x:c r="D8" s="28" t="str">
        <x:v>Use review fields and decision log</x:v>
      </x:c>
      <x:c r="E8" s="28" t="str">
        <x:v>Foundry policy/evals</x:v>
      </x:c>
      <x:c r="F8" s="28" t="str"/>
      <x:c r="G8" s="28" t="str">
        <x:v>Not Started</x:v>
      </x:c>
      <x:c r="H8" s="28" t="str"/>
    </x:row>
    <x:row r="9">
      <x:c r="A9" s="28" t="str">
        <x:v>Communication governance</x:v>
      </x:c>
      <x:c r="B9" s="28" t="str">
        <x:v>Customer Insights is the only lifecycle outbound channel</x:v>
      </x:c>
      <x:c r="C9" s="28" t="str">
        <x:v>Conditional</x:v>
      </x:c>
      <x:c r="D9" s="28" t="str">
        <x:v>Do not send outside CIJ</x:v>
      </x:c>
      <x:c r="E9" s="28" t="str">
        <x:v>Compliance profile, consent, audit</x:v>
      </x:c>
      <x:c r="F9" s="28" t="str"/>
      <x:c r="G9" s="28" t="str">
        <x:v>Not Started</x:v>
      </x:c>
      <x:c r="H9" s="28" t="str"/>
    </x:row>
    <x:row r="10">
      <x:c r="A10" s="28" t="str">
        <x:v>SAP boundary</x:v>
      </x:c>
      <x:c r="B10" s="28" t="str">
        <x:v>SAP only through APIM + Azure Functions</x:v>
      </x:c>
      <x:c r="C10" s="28" t="str">
        <x:v>Conditional</x:v>
      </x:c>
      <x:c r="D10" s="28" t="str">
        <x:v>Mock or contract-only where unavailable</x:v>
      </x:c>
      <x:c r="E10" s="28" t="str">
        <x:v>APIM/JWT/idempotency/telemetry</x:v>
      </x:c>
      <x:c r="F10" s="28" t="str"/>
      <x:c r="G10" s="28" t="str">
        <x:v>Not Started</x:v>
      </x:c>
      <x:c r="H10" s="28" t="str"/>
    </x:row>
    <x:row r="11">
      <x:c r="A11" s="28" t="str">
        <x:v>Secrets</x:v>
      </x:c>
      <x:c r="B11" s="28" t="str">
        <x:v>No secrets in workbook, flows, code or prompts</x:v>
      </x:c>
      <x:c r="C11" s="28" t="str">
        <x:v>Yes</x:v>
      </x:c>
      <x:c r="D11" s="28" t="str">
        <x:v>Use placeholders</x:v>
      </x:c>
      <x:c r="E11" s="28" t="str">
        <x:v>Key Vault and managed identity</x:v>
      </x:c>
      <x:c r="F11" s="28" t="str"/>
      <x:c r="G11" s="28" t="str">
        <x:v>Not Started</x:v>
      </x:c>
      <x:c r="H11" s="28" t="str"/>
    </x:row>
    <x:row r="12">
      <x:c r="A12" s="28" t="str">
        <x:v>Observability</x:v>
      </x:c>
      <x:c r="B12" s="28" t="str">
        <x:v>Correlation IDs and run logging</x:v>
      </x:c>
      <x:c r="C12" s="28" t="str">
        <x:v>Conditional</x:v>
      </x:c>
      <x:c r="D12" s="28" t="str">
        <x:v>Use logs/registers</x:v>
      </x:c>
      <x:c r="E12" s="28" t="str">
        <x:v>App Insights + Dataverse dashboards</x:v>
      </x:c>
      <x:c r="F12" s="28" t="str"/>
      <x:c r="G12" s="28" t="str">
        <x:v>Not Started</x:v>
      </x:c>
      <x:c r="H12" s="28" t="str"/>
    </x:row>
  </x:sheetData>
  <x:mergeCells>
    <x:mergeCell ref="A1:J1"/>
    <x:mergeCell ref="A2:J2"/>
  </x:mergeCells>
  <x:dataValidations count="2">
    <x:dataValidation type="list" sqref="C5:C300">
      <x:formula1>"Yes,No,Partial,N/A"</x:formula1>
    </x:dataValidation>
    <x:dataValidation type="list" sqref="G5:G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7aca73d2f04b4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42" hidden="0" customWidth="1"/>
    <x:col min="5" max="5" width="22" hidden="0" customWidth="1"/>
    <x:col min="6" max="6" width="16" hidden="0" customWidth="1"/>
    <x:col min="7" max="7" width="14" hidden="0" customWidth="1"/>
    <x:col min="8" max="8" width="20" hidden="0" customWidth="1"/>
    <x:col min="9" max="9" width="34" hidden="0" customWidth="1"/>
    <x:col min="10" max="10" width="18" hidden="0" customWidth="1"/>
    <x:col min="11" max="11" width="38" hidden="0" customWidth="1"/>
  </x:cols>
  <x:sheetData>
    <x:row r="1" ht="28" customHeight="1">
      <x:c r="A1" s="6" t="str">
        <x:v>Phase 3 ALM &amp; Release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Track solution exports, versioning, deployment evidence and rollback notes.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Solution/component</x:v>
      </x:c>
      <x:c r="C4" s="51" t="str">
        <x:v>Version</x:v>
      </x:c>
      <x:c r="D4" s="51" t="str">
        <x:v>Change summary</x:v>
      </x:c>
      <x:c r="E4" s="51" t="str">
        <x:v>Export/deploy type</x:v>
      </x:c>
      <x:c r="F4" s="51" t="str">
        <x:v>Environment</x:v>
      </x:c>
      <x:c r="G4" s="51" t="str">
        <x:v>Date</x:v>
      </x:c>
      <x:c r="H4" s="51" t="str">
        <x:v>Owner</x:v>
      </x:c>
      <x:c r="I4" s="51" t="str">
        <x:v>File/link</x:v>
      </x:c>
      <x:c r="J4" s="51" t="str">
        <x:v>Validation status</x:v>
      </x:c>
      <x:c r="K4" s="51" t="str">
        <x:v>Rollback notes</x:v>
      </x:c>
    </x:row>
    <x:row r="5">
      <x:c r="A5" s="28" t="str">
        <x:v>ALM-3.001</x:v>
      </x:c>
      <x:c r="B5" s="28" t="str">
        <x:v>ASO.Journeys / ASO.Core / ASO.Automation</x:v>
      </x:c>
      <x:c r="C5" s="28" t="str">
        <x:v>0.1.0</x:v>
      </x:c>
      <x:c r="D5" s="28" t="str">
        <x:v>Initial Phase 3 setup</x:v>
      </x:c>
      <x:c r="E5" s="28" t="str">
        <x:v>Manual export backup</x:v>
      </x:c>
      <x:c r="F5" s="28" t="str">
        <x:v>DEV</x:v>
      </x:c>
      <x:c r="G5" s="28" t="str"/>
      <x:c r="H5" s="28" t="str"/>
      <x:c r="I5" s="28" t="str"/>
      <x:c r="J5" s="28" t="str">
        <x:v>Not Started</x:v>
      </x:c>
      <x:c r="K5" s="28" t="str"/>
    </x:row>
  </x:sheetData>
  <x:mergeCells>
    <x:mergeCell ref="A1:J1"/>
    <x:mergeCell ref="A2:J2"/>
  </x:mergeCells>
  <x:dataValidations count="1">
    <x:dataValidation type="list" sqref="J5:J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595627d467460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4" hidden="0" customWidth="1"/>
    <x:col min="4" max="4" width="34" hidden="0" customWidth="1"/>
    <x:col min="5" max="5" width="20" hidden="0" customWidth="1"/>
    <x:col min="6" max="6" width="20" hidden="0" customWidth="1"/>
    <x:col min="7" max="7" width="24" hidden="0" customWidth="1"/>
    <x:col min="8" max="8" width="16" hidden="0" customWidth="1"/>
    <x:col min="9" max="9" width="16" hidden="0" customWidth="1"/>
    <x:col min="10" max="10" width="38" hidden="0" customWidth="1"/>
  </x:cols>
  <x:sheetData>
    <x:row r="1" ht="28" customHeight="1">
      <x:c r="A1" s="6" t="str">
        <x:v>Phase 3 Test Data Register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Synthetic records and test users used during MVP/demo validation.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ID</x:v>
      </x:c>
      <x:c r="B4" s="51" t="str">
        <x:v>Record type</x:v>
      </x:c>
      <x:c r="C4" s="51" t="str">
        <x:v>Record name</x:v>
      </x:c>
      <x:c r="D4" s="51" t="str">
        <x:v>Purpose</x:v>
      </x:c>
      <x:c r="E4" s="51" t="str">
        <x:v>Created in environment</x:v>
      </x:c>
      <x:c r="F4" s="51" t="str">
        <x:v>Owner</x:v>
      </x:c>
      <x:c r="G4" s="51" t="str">
        <x:v>Data classification</x:v>
      </x:c>
      <x:c r="H4" s="51" t="str">
        <x:v>Cleanup needed?</x:v>
      </x:c>
      <x:c r="I4" s="51" t="str">
        <x:v>Status</x:v>
      </x:c>
      <x:c r="J4" s="51" t="str">
        <x:v>Notes</x:v>
      </x:c>
    </x:row>
    <x:row r="5">
      <x:c r="A5" s="28" t="str">
        <x:v>TD-3.001</x:v>
      </x:c>
      <x:c r="B5" s="28" t="str">
        <x:v>Lead/Opportunity/Account/Contact or component-specific test item</x:v>
      </x:c>
      <x:c r="C5" s="28" t="str">
        <x:v>ASO MVP TEST - example</x:v>
      </x:c>
      <x:c r="D5" s="28" t="str">
        <x:v>Phase validation</x:v>
      </x:c>
      <x:c r="E5" s="28" t="str">
        <x:v>DEV</x:v>
      </x:c>
      <x:c r="F5" s="28" t="str"/>
      <x:c r="G5" s="28" t="str">
        <x:v>Synthetic/demo only</x:v>
      </x:c>
      <x:c r="H5" s="28" t="str">
        <x:v>Yes</x:v>
      </x:c>
      <x:c r="I5" s="28" t="str">
        <x:v>Not Started</x:v>
      </x:c>
      <x:c r="J5" s="28" t="str">
        <x:v>Do not use real customer data</x:v>
      </x:c>
    </x:row>
  </x:sheetData>
  <x:mergeCells>
    <x:mergeCell ref="A1:J1"/>
    <x:mergeCell ref="A2:J2"/>
  </x:mergeCells>
  <x:dataValidations count="2">
    <x:dataValidation type="list" sqref="H5:H300">
      <x:formula1>"Yes,No,Partial,N/A"</x:formula1>
    </x:dataValidation>
    <x:dataValidation type="list" sqref="I5:I300">
      <x:formula1>"Not Started,In Progress,Blocked,Deferred,Done,N/A"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4c096e560a4009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16" hidden="0" customWidth="1"/>
    <x:col min="6" max="6" width="19" hidden="0" customWidth="1"/>
    <x:col min="7" max="7" width="20" hidden="0" customWidth="1"/>
    <x:col min="8" max="8" width="16" hidden="0" customWidth="1"/>
  </x:cols>
  <x:sheetData>
    <x:row r="1" ht="28" customHeight="1">
      <x:c r="A1" s="6" t="str">
        <x:v>Phase 3 — Journey Register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Journey</x:v>
      </x:c>
      <x:c r="B4" s="51" t="str">
        <x:v>Entry type</x:v>
      </x:c>
      <x:c r="C4" s="51" t="str">
        <x:v>Audience</x:v>
      </x:c>
      <x:c r="D4" s="51" t="str">
        <x:v>Compliance profile</x:v>
      </x:c>
      <x:c r="E4" s="51" t="str">
        <x:v>Status</x:v>
      </x:c>
      <x:c r="F4" s="51" t="str">
        <x:v>Trigger/segment</x:v>
      </x:c>
      <x:c r="G4" s="51" t="str">
        <x:v>Writeback fields</x:v>
      </x:c>
      <x:c r="H4" s="51" t="str">
        <x:v>Notes</x:v>
      </x:c>
    </x:row>
    <x:row r="5">
      <x:c r="A5" s="28" t="str">
        <x:v>JRNY - ASO - Lead Nurture - v1</x:v>
      </x:c>
      <x:c r="B5" s="28" t="str">
        <x:v>Segment or trigger</x:v>
      </x:c>
      <x:c r="C5" s="28" t="str">
        <x:v>Lead</x:v>
      </x:c>
      <x:c r="D5" s="28" t="str">
        <x:v>Global Commercial</x:v>
      </x:c>
      <x:c r="E5" s="28" t="str">
        <x:v>Not Started</x:v>
      </x:c>
      <x:c r="F5" s="28" t="str">
        <x:v>Lead - Nurture Ready / ASO Lead Nurture Requested</x:v>
      </x:c>
      <x:c r="G5" s="28" t="str">
        <x:v>Communication State; Journey Status; Last Interaction</x:v>
      </x:c>
      <x:c r="H5" s="28" t="str"/>
    </x:row>
    <x:row r="6">
      <x:c r="A6" s="28" t="str">
        <x:v>JRNY - ASO - Qualified Lead Follow Up - v1</x:v>
      </x:c>
      <x:c r="B6" s="28" t="str">
        <x:v>Segment or trigger</x:v>
      </x:c>
      <x:c r="C6" s="28" t="str">
        <x:v>Lead/Contact</x:v>
      </x:c>
      <x:c r="D6" s="28" t="str">
        <x:v>Global Commercial</x:v>
      </x:c>
      <x:c r="E6" s="28" t="str">
        <x:v>Not Started</x:v>
      </x:c>
      <x:c r="F6" s="28" t="str">
        <x:v>ASO Qualified Lead Follow Up Requested</x:v>
      </x:c>
      <x:c r="G6" s="28" t="str">
        <x:v>Journey ledger</x:v>
      </x:c>
      <x:c r="H6" s="28" t="str"/>
    </x:row>
    <x:row r="7">
      <x:c r="A7" s="28" t="str">
        <x:v>JRNY - ASO - Opportunity Progression - v1</x:v>
      </x:c>
      <x:c r="B7" s="28" t="str">
        <x:v>Trigger</x:v>
      </x:c>
      <x:c r="C7" s="28" t="str">
        <x:v>Contact</x:v>
      </x:c>
      <x:c r="D7" s="28" t="str">
        <x:v>Global Commercial</x:v>
      </x:c>
      <x:c r="E7" s="28" t="str">
        <x:v>Not Started</x:v>
      </x:c>
      <x:c r="F7" s="28" t="str">
        <x:v>ASO Opportunity Progression Requested</x:v>
      </x:c>
      <x:c r="G7" s="28" t="str">
        <x:v>Journey ledger</x:v>
      </x:c>
      <x:c r="H7" s="28" t="str"/>
    </x:row>
  </x:sheetData>
  <x:mergeCells>
    <x:mergeCell ref="A1:J1"/>
    <x:mergeCell ref="A2:J2"/>
  </x:mergeCells>
  <x:dataValidations count="1">
    <x:dataValidation type="list" sqref="E5:E300">
      <x:formula1>"Not Started,In Progress,Blocked,Deferred,Done,N/A,Open,Closed,Approved"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6" hidden="0" customWidth="1"/>
    <x:col min="5" max="5" width="26" hidden="0" customWidth="1"/>
    <x:col min="6" max="6" width="19" hidden="0" customWidth="1"/>
    <x:col min="7" max="7" width="20" hidden="0" customWidth="1"/>
    <x:col min="8" max="8" width="16" hidden="0" customWidth="1"/>
  </x:cols>
  <x:sheetData>
    <x:row r="1" ht="28" customHeight="1">
      <x:c r="A1" s="6" t="str">
        <x:v>Phase 3 — Email Asset Register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Email asset</x:v>
      </x:c>
      <x:c r="B4" s="51" t="str">
        <x:v>Journey</x:v>
      </x:c>
      <x:c r="C4" s="51" t="str">
        <x:v>Compliance profile</x:v>
      </x:c>
      <x:c r="D4" s="51" t="str">
        <x:v>Topic</x:v>
      </x:c>
      <x:c r="E4" s="51" t="str">
        <x:v>Personalization fields</x:v>
      </x:c>
      <x:c r="F4" s="51" t="str">
        <x:v>Approval status</x:v>
      </x:c>
      <x:c r="G4" s="51" t="str">
        <x:v>Test send result</x:v>
      </x:c>
      <x:c r="H4" s="51" t="str">
        <x:v>Notes</x:v>
      </x:c>
    </x:row>
    <x:row r="5">
      <x:c r="A5" s="28" t="str">
        <x:v>EML - Lead Nurture - Initial</x:v>
      </x:c>
      <x:c r="B5" s="28" t="str">
        <x:v>Lead Nurture</x:v>
      </x:c>
      <x:c r="C5" s="28" t="str">
        <x:v>Global Commercial</x:v>
      </x:c>
      <x:c r="D5" s="28" t="str">
        <x:v>Lead</x:v>
      </x:c>
      <x:c r="E5" s="28" t="str">
        <x:v>Approved Dataverse fields only</x:v>
      </x:c>
      <x:c r="F5" s="28" t="str">
        <x:v>Not Started</x:v>
      </x:c>
      <x:c r="G5" s="28" t="str"/>
      <x:c r="H5" s="28" t="str"/>
    </x:row>
    <x:row r="6">
      <x:c r="A6" s="28" t="str">
        <x:v>EML - Qualified Lead - Follow Up</x:v>
      </x:c>
      <x:c r="B6" s="28" t="str">
        <x:v>Qualified Lead Follow Up</x:v>
      </x:c>
      <x:c r="C6" s="28" t="str">
        <x:v>Global Commercial</x:v>
      </x:c>
      <x:c r="D6" s="28" t="str">
        <x:v>Qualified Lead</x:v>
      </x:c>
      <x:c r="E6" s="28" t="str">
        <x:v>Approved Dataverse fields only</x:v>
      </x:c>
      <x:c r="F6" s="28" t="str">
        <x:v>Not Started</x:v>
      </x:c>
      <x:c r="G6" s="28" t="str"/>
      <x:c r="H6" s="28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7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28" customHeight="1">
      <x:c r="A1" s="6" t="str">
        <x:v>Phase 3 — Consent Matrix</x:v>
      </x:c>
      <x:c r="B1" s="6"/>
      <x:c r="C1" s="6"/>
      <x:c r="D1" s="6"/>
      <x:c r="E1" s="6"/>
      <x:c r="F1" s="6"/>
      <x:c r="G1" s="6"/>
      <x:c r="H1" s="6"/>
      <x:c r="I1" s="6"/>
      <x:c r="J1" s="6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</x:row>
    <x:row r="2" ht="32" customHeight="1">
      <x:c r="A2" s="14" t="str">
        <x:v>Phase-specific enterprise register. Add/maintain rows as implementation progresses.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Consent source</x:v>
      </x:c>
      <x:c r="B4" s="51" t="str">
        <x:v>Normalized field</x:v>
      </x:c>
      <x:c r="C4" s="51" t="str">
        <x:v>Allowed value</x:v>
      </x:c>
      <x:c r="D4" s="51" t="str">
        <x:v>Communication State effect</x:v>
      </x:c>
      <x:c r="E4" s="51" t="str">
        <x:v>Hold reason</x:v>
      </x:c>
      <x:c r="F4" s="51" t="str">
        <x:v>Owner</x:v>
      </x:c>
      <x:c r="G4" s="51" t="str">
        <x:v>Notes</x:v>
      </x:c>
    </x:row>
    <x:row r="5">
      <x:c r="A5" s="28" t="str">
        <x:v>Customer Insights consent</x:v>
      </x:c>
      <x:c r="B5" s="28" t="str">
        <x:v>aso_emailconsentstatus</x:v>
      </x:c>
      <x:c r="C5" s="28" t="str">
        <x:v>OptedIn</x:v>
      </x:c>
      <x:c r="D5" s="28" t="str">
        <x:v>Eligible if other criteria pass</x:v>
      </x:c>
      <x:c r="E5" s="28" t="str"/>
      <x:c r="F5" s="28" t="str">
        <x:v>CI Operator</x:v>
      </x:c>
      <x:c r="G5" s="28" t="str"/>
    </x:row>
    <x:row r="6">
      <x:c r="A6" s="28" t="str">
        <x:v>Customer Insights consent</x:v>
      </x:c>
      <x:c r="B6" s="28" t="str">
        <x:v>aso_emailconsentstatus</x:v>
      </x:c>
      <x:c r="C6" s="28" t="str">
        <x:v>OptedOut/Blocked</x:v>
      </x:c>
      <x:c r="D6" s="28" t="str">
        <x:v>Suppressed or Blocked</x:v>
      </x:c>
      <x:c r="E6" s="28" t="str">
        <x:v>Consent withdrawn or blocked</x:v>
      </x:c>
      <x:c r="F6" s="28" t="str">
        <x:v>CI Operator</x:v>
      </x:c>
      <x:c r="G6" s="28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70" hidden="0" customWidth="1"/>
    <x:col min="3" max="3" width="60" hidden="0" customWidth="1"/>
  </x:cols>
  <x:sheetData>
    <x:row r="1" ht="28" customHeight="1">
      <x:c r="A1" s="6" t="str">
        <x:v>Phase 3 Source References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2" customHeight="1">
      <x:c r="A2" s="14" t="str">
        <x:v>Source files and guide sections used to populate this workbook.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>
      <x:c r="A4" s="51" t="str">
        <x:v>Source</x:v>
      </x:c>
      <x:c r="B4" s="51" t="str">
        <x:v>Relevant section / use</x:v>
      </x:c>
      <x:c r="C4" s="51" t="str">
        <x:v>Notes</x:v>
      </x:c>
    </x:row>
    <x:row r="5">
      <x:c r="A5" s="28" t="str">
        <x:v>MAIN_Agentic Sales Orchestrator - Build Guide.md</x:v>
      </x:c>
      <x:c r="B5" s="28" t="str">
        <x:v>Delivery phases, target architecture, product boundaries, naming standards, phase runbook content</x:v>
      </x:c>
      <x:c r="C5" s="28" t="str">
        <x:v>Primary enterprise guide for all phases</x:v>
      </x:c>
    </x:row>
    <x:row r="6">
      <x:c r="A6" s="28" t="str">
        <x:v>ASO_Phase2_Dataverse_Schema_Sales_Form_MVP_Guidance.md</x:v>
      </x:c>
      <x:c r="B6" s="28" t="str">
        <x:v>Phase 2 MVP guidance, data dictionary/security/gap tracking and Dataverse schema runbook</x:v>
      </x:c>
      <x:c r="C6" s="28" t="str">
        <x:v>Primary detailed guide for Phase 2 workbook</x:v>
      </x:c>
    </x:row>
    <x:row r="7">
      <x:c r="A7" s="28" t="str">
        <x:v>Pasted text.txt</x:v>
      </x:c>
      <x:c r="B7" s="28" t="str">
        <x:v>MVP adaptation rules, answer structure, documentation expectations, architecture boundary rules</x:v>
      </x:c>
      <x:c r="C7" s="28" t="str">
        <x:v>Used to align workbook controls and phase-gate style</x:v>
      </x:c>
    </x:row>
    <x:row r="8">
      <x:c r="A8" s="28" t="str">
        <x:v>D365_Success_by_Design.docx</x:v>
      </x:c>
      <x:c r="B8" s="28" t="str">
        <x:v>General delivery assurance context</x:v>
      </x:c>
      <x:c r="C8" s="28" t="str">
        <x:v>Referenced as general programme quality context where relevant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5463bf4e8d04918"/>
  </x:tableParts>
</x:worksheet>
</file>