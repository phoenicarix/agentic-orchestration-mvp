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10f0e9afe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76bff8844f24682"/>
    <x:sheet xmlns:r="http://schemas.openxmlformats.org/officeDocument/2006/relationships" name="Phase Charter" sheetId="2" r:id="R2ae2787954224d9d"/>
    <x:sheet xmlns:r="http://schemas.openxmlformats.org/officeDocument/2006/relationships" name="Build Tracker" sheetId="3" r:id="Rfb4be7cbc1ab438c"/>
    <x:sheet xmlns:r="http://schemas.openxmlformats.org/officeDocument/2006/relationships" name="Runbook" sheetId="4" r:id="Rdbc1be1efbf546fc"/>
    <x:sheet xmlns:r="http://schemas.openxmlformats.org/officeDocument/2006/relationships" name="Config Register" sheetId="5" r:id="Re30fd7ccde664b53"/>
    <x:sheet xmlns:r="http://schemas.openxmlformats.org/officeDocument/2006/relationships" name="Validation Checklist" sheetId="6" r:id="R4b5007e29a0e46e7"/>
    <x:sheet xmlns:r="http://schemas.openxmlformats.org/officeDocument/2006/relationships" name="Decision Log" sheetId="7" r:id="Rf0453582d4934259"/>
    <x:sheet xmlns:r="http://schemas.openxmlformats.org/officeDocument/2006/relationships" name="Risk &amp; Issue Log" sheetId="8" r:id="R2cad335bd78e48e8"/>
    <x:sheet xmlns:r="http://schemas.openxmlformats.org/officeDocument/2006/relationships" name="Production Gap Log" sheetId="9" r:id="R63230731b56b404d"/>
    <x:sheet xmlns:r="http://schemas.openxmlformats.org/officeDocument/2006/relationships" name="Security &amp; Controls" sheetId="10" r:id="R683897d677aa492b"/>
    <x:sheet xmlns:r="http://schemas.openxmlformats.org/officeDocument/2006/relationships" name="ALM &amp; Release" sheetId="11" r:id="Rc27ce103a7474d1c"/>
    <x:sheet xmlns:r="http://schemas.openxmlformats.org/officeDocument/2006/relationships" name="Test Data" sheetId="12" r:id="R5588ce73c4ef43c8"/>
    <x:sheet xmlns:r="http://schemas.openxmlformats.org/officeDocument/2006/relationships" name="Agent Configuration" sheetId="13" r:id="Rb578247135c34c0d"/>
    <x:sheet xmlns:r="http://schemas.openxmlformats.org/officeDocument/2006/relationships" name="Pilot Records" sheetId="14" r:id="Re77278c84e3e46cc"/>
    <x:sheet xmlns:r="http://schemas.openxmlformats.org/officeDocument/2006/relationships" name="Output Mapping" sheetId="15" r:id="R5ff02e96d97644f0"/>
    <x:sheet xmlns:r="http://schemas.openxmlformats.org/officeDocument/2006/relationships" name="Source References" sheetId="16" r:id="R7792015f91b1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b/>
      <x:sz val="12"/>
      <x:color rgb="1D4ED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F1F5F9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200" fontId="5" fillId="6" borderId="0" xfId="0" applyNumberFormat="1" applyFont="1" applyFill="1" applyBorder="1" applyAlignment="1">
      <x:alignment horizontal="center"/>
    </x:xf>
    <x:xf numFmtId="200" fontId="5" fillId="6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4452d6482f495e" /><Relationship Type="http://schemas.openxmlformats.org/officeDocument/2006/relationships/theme" Target="/xl/theme/theme1.xml" Id="R4e2bd3b0f63c44ca" /><Relationship Type="http://schemas.openxmlformats.org/officeDocument/2006/relationships/sharedStrings" Target="/xl/sharedStrings.xml" Id="Rf11274e44b944441" /><Relationship Type="http://schemas.openxmlformats.org/officeDocument/2006/relationships/worksheet" Target="/xl/worksheets/sheet1.xml" Id="R876bff8844f24682" /><Relationship Type="http://schemas.openxmlformats.org/officeDocument/2006/relationships/worksheet" Target="/xl/worksheets/sheet2.xml" Id="R2ae2787954224d9d" /><Relationship Type="http://schemas.openxmlformats.org/officeDocument/2006/relationships/worksheet" Target="/xl/worksheets/sheet3.xml" Id="Rfb4be7cbc1ab438c" /><Relationship Type="http://schemas.openxmlformats.org/officeDocument/2006/relationships/worksheet" Target="/xl/worksheets/sheet4.xml" Id="Rdbc1be1efbf546fc" /><Relationship Type="http://schemas.openxmlformats.org/officeDocument/2006/relationships/worksheet" Target="/xl/worksheets/sheet5.xml" Id="Re30fd7ccde664b53" /><Relationship Type="http://schemas.openxmlformats.org/officeDocument/2006/relationships/worksheet" Target="/xl/worksheets/sheet6.xml" Id="R4b5007e29a0e46e7" /><Relationship Type="http://schemas.openxmlformats.org/officeDocument/2006/relationships/worksheet" Target="/xl/worksheets/sheet7.xml" Id="Rf0453582d4934259" /><Relationship Type="http://schemas.openxmlformats.org/officeDocument/2006/relationships/worksheet" Target="/xl/worksheets/sheet8.xml" Id="R2cad335bd78e48e8" /><Relationship Type="http://schemas.openxmlformats.org/officeDocument/2006/relationships/worksheet" Target="/xl/worksheets/sheet9.xml" Id="R63230731b56b404d" /><Relationship Type="http://schemas.openxmlformats.org/officeDocument/2006/relationships/worksheet" Target="/xl/worksheets/sheet10.xml" Id="R683897d677aa492b" /><Relationship Type="http://schemas.openxmlformats.org/officeDocument/2006/relationships/worksheet" Target="/xl/worksheets/sheet11.xml" Id="Rc27ce103a7474d1c" /><Relationship Type="http://schemas.openxmlformats.org/officeDocument/2006/relationships/worksheet" Target="/xl/worksheets/sheet12.xml" Id="R5588ce73c4ef43c8" /><Relationship Type="http://schemas.openxmlformats.org/officeDocument/2006/relationships/worksheet" Target="/xl/worksheets/sheet13.xml" Id="Rb578247135c34c0d" /><Relationship Type="http://schemas.openxmlformats.org/officeDocument/2006/relationships/worksheet" Target="/xl/worksheets/sheet14.xml" Id="Re77278c84e3e46cc" /><Relationship Type="http://schemas.openxmlformats.org/officeDocument/2006/relationships/worksheet" Target="/xl/worksheets/sheet15.xml" Id="R5ff02e96d97644f0" /><Relationship Type="http://schemas.openxmlformats.org/officeDocument/2006/relationships/worksheet" Target="/xl/worksheets/sheet16.xml" Id="R7792015f91b14ecf" /></Relationships>
</file>

<file path=xl/tables/table1.xml><?xml version="1.0" encoding="utf-8"?>
<x:table xmlns:x="http://schemas.openxmlformats.org/spreadsheetml/2006/main" id="1" name="P5BuildTracker" displayName="P5BuildTracker" ref="A4:N19" headerRowCount="1">
  <x:tableColumns count="14">
    <x:tableColumn id="1" name="ID"/>
    <x:tableColumn id="2" name="Work item"/>
    <x:tableColumn id="3" name="Stream"/>
    <x:tableColumn id="4" name="Implementation instruction"/>
    <x:tableColumn id="5" name="Expected outcome"/>
    <x:tableColumn id="6" name="Owner role"/>
    <x:tableColumn id="7" name="Status"/>
    <x:tableColumn id="8" name="Priority"/>
    <x:tableColumn id="9" name="Start date"/>
    <x:tableColumn id="10" name="Target date"/>
    <x:tableColumn id="11" name="Completed date"/>
    <x:tableColumn id="12" name="Evidence / link"/>
    <x:tableColumn id="13" name="Validation result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5Runbook" displayName="P5Runbook" ref="A4:H19" headerRowCount="1">
  <x:tableColumns count="8">
    <x:tableColumn id="1" name="Step"/>
    <x:tableColumn id="2" name="Click path / action"/>
    <x:tableColumn id="3" name="Exact name or value"/>
    <x:tableColumn id="4" name="Configuration notes"/>
    <x:tableColumn id="5" name="Expected UI result"/>
    <x:tableColumn id="6" name="Common mistake to avoid"/>
    <x:tableColumn id="7" name="Status"/>
    <x:tableColumn id="8" name="Evidence"/>
  </x:tableColumns>
  <x:tableStyleInfo name="TableStyleMedium2" showRowStripes="1"/>
</x:table>
</file>

<file path=xl/tables/table3.xml><?xml version="1.0" encoding="utf-8"?>
<x:table xmlns:x="http://schemas.openxmlformats.org/spreadsheetml/2006/main" id="3" name="P5Config" displayName="P5Config" ref="A4:J8" headerRowCount="1">
  <x:tableColumns count="10">
    <x:tableColumn id="1" name="Type"/>
    <x:tableColumn id="2" name="Name / schema"/>
    <x:tableColumn id="3" name="Purpose / value"/>
    <x:tableColumn id="4" name="Required level"/>
    <x:tableColumn id="5" name="MVP note"/>
    <x:tableColumn id="6" name="Owner"/>
    <x:tableColumn id="7" name="Status"/>
    <x:tableColumn id="8" name="Environment"/>
    <x:tableColumn id="9" name="Actual value / ID"/>
    <x:tableColumn id="10" name="Evidence / link"/>
  </x:tableColumns>
  <x:tableStyleInfo name="TableStyleMedium2" showRowStripes="1"/>
</x:table>
</file>

<file path=xl/tables/table4.xml><?xml version="1.0" encoding="utf-8"?>
<x:table xmlns:x="http://schemas.openxmlformats.org/spreadsheetml/2006/main" id="4" name="P5Validation" displayName="P5Validation" ref="A4:H11" headerRowCount="1">
  <x:tableColumns count="8">
    <x:tableColumn id="1" name="ID"/>
    <x:tableColumn id="2" name="Validation item"/>
    <x:tableColumn id="3" name="Expected evidence"/>
    <x:tableColumn id="4" name="Owner"/>
    <x:tableColumn id="5" name="Criticality"/>
    <x:tableColumn id="6" name="Passed?"/>
    <x:tableColumn id="7" name="Evidence / link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5Decisions" displayName="P5Decisions" ref="A4:J6" headerRowCount="1">
  <x:tableColumns count="10">
    <x:tableColumn id="1" name="Decision ID"/>
    <x:tableColumn id="2" name="Date"/>
    <x:tableColumn id="3" name="Decision area"/>
    <x:tableColumn id="4" name="Decision"/>
    <x:tableColumn id="5" name="Options considered"/>
    <x:tableColumn id="6" name="Rationale"/>
    <x:tableColumn id="7" name="Owner"/>
    <x:tableColumn id="8" name="Status"/>
    <x:tableColumn id="9" name="Impacted phase/component"/>
    <x:tableColumn id="10" name="Follow-up action"/>
  </x:tableColumns>
  <x:tableStyleInfo name="TableStyleMedium2" showRowStripes="1"/>
</x:table>
</file>

<file path=xl/tables/table6.xml><?xml version="1.0" encoding="utf-8"?>
<x:table xmlns:x="http://schemas.openxmlformats.org/spreadsheetml/2006/main" id="6" name="P5Risks" displayName="P5Risks" ref="A4:K7" headerRowCount="1">
  <x:tableColumns count="11">
    <x:tableColumn id="1" name="ID"/>
    <x:tableColumn id="2" name="Type"/>
    <x:tableColumn id="3" name="Area"/>
    <x:tableColumn id="4" name="Risk / issue"/>
    <x:tableColumn id="5" name="Impact"/>
    <x:tableColumn id="6" name="Probability"/>
    <x:tableColumn id="7" name="Mitigation / action"/>
    <x:tableColumn id="8" name="Status"/>
    <x:tableColumn id="9" name="Owner"/>
    <x:tableColumn id="10" name="Due date"/>
    <x:tableColumn id="11" name="Evidence / notes"/>
  </x:tableColumns>
  <x:tableStyleInfo name="TableStyleMedium2" showRowStripes="1"/>
</x:table>
</file>

<file path=xl/tables/table7.xml><?xml version="1.0" encoding="utf-8"?>
<x:table xmlns:x="http://schemas.openxmlformats.org/spreadsheetml/2006/main" id="7" name="P5Gaps" displayName="P5Gaps" ref="A4:I7" headerRowCount="1">
  <x:tableColumns count="9">
    <x:tableColumn id="1" name="Area"/>
    <x:tableColumn id="2" name="MVP decision"/>
    <x:tableColumn id="3" name="Production gap"/>
    <x:tableColumn id="4" name="Risk / limitation"/>
    <x:tableColumn id="5" name="Future production action"/>
    <x:tableColumn id="6" name="Owner"/>
    <x:tableColumn id="7" name="Status"/>
    <x:tableColumn id="8" name="Target phase/date"/>
    <x:tableColumn id="9" name="Decision reference"/>
  </x:tableColumns>
  <x:tableStyleInfo name="TableStyleMedium2" showRowStripes="1"/>
</x:table>
</file>

<file path=xl/tables/table8.xml><?xml version="1.0" encoding="utf-8"?>
<x:table xmlns:x="http://schemas.openxmlformats.org/spreadsheetml/2006/main" id="8" name="P5Controls" displayName="P5Controls" ref="A4:H12" headerRowCount="1">
  <x:tableColumns count="8">
    <x:tableColumn id="1" name="Control area"/>
    <x:tableColumn id="2" name="Control requirement"/>
    <x:tableColumn id="3" name="Applies in this phase?"/>
    <x:tableColumn id="4" name="MVP implementation"/>
    <x:tableColumn id="5" name="Production expectation"/>
    <x:tableColumn id="6" name="Owner"/>
    <x:tableColumn id="7" name="Status"/>
    <x:tableColumn id="8" name="Evidence / notes"/>
  </x:tableColumns>
  <x:tableStyleInfo name="TableStyleMedium2" showRowStripes="1"/>
</x:table>
</file>

<file path=xl/tables/table9.xml><?xml version="1.0" encoding="utf-8"?>
<x:table xmlns:x="http://schemas.openxmlformats.org/spreadsheetml/2006/main" id="9" name="P5ALM" displayName="P5ALM" ref="A4:K5" headerRowCount="1">
  <x:tableColumns count="11">
    <x:tableColumn id="1" name="ID"/>
    <x:tableColumn id="2" name="Solution/component"/>
    <x:tableColumn id="3" name="Version"/>
    <x:tableColumn id="4" name="Change summary"/>
    <x:tableColumn id="5" name="Export/deploy type"/>
    <x:tableColumn id="6" name="Environment"/>
    <x:tableColumn id="7" name="Date"/>
    <x:tableColumn id="8" name="Owner"/>
    <x:tableColumn id="9" name="File/link"/>
    <x:tableColumn id="10" name="Validation status"/>
    <x:tableColumn id="11" name="Rollback notes"/>
  </x:tableColumns>
  <x:tableStyleInfo name="TableStyleMedium2" showRowStripes="1"/>
</x:table>
</file>

<file path=xl/tables/table10.xml><?xml version="1.0" encoding="utf-8"?>
<x:table xmlns:x="http://schemas.openxmlformats.org/spreadsheetml/2006/main" id="10" name="P5TestData" displayName="P5TestData" ref="A4:J5" headerRowCount="1">
  <x:tableColumns count="10">
    <x:tableColumn id="1" name="ID"/>
    <x:tableColumn id="2" name="Record type"/>
    <x:tableColumn id="3" name="Record name"/>
    <x:tableColumn id="4" name="Purpose"/>
    <x:tableColumn id="5" name="Created in environment"/>
    <x:tableColumn id="6" name="Owner"/>
    <x:tableColumn id="7" name="Data classification"/>
    <x:tableColumn id="8" name="Cleanup needed?"/>
    <x:tableColumn id="9" name="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P5Sources" displayName="P5Sources" ref="A4:C8" headerRowCount="1">
  <x:tableColumns count="3">
    <x:tableColumn id="1" name="Source"/>
    <x:tableColumn id="2" name="Relevant section / use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b2185d66ec54c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dd7c5a5d77643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a32e9b08a834f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9b38ebbdfbf42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e4c2f4a82384d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011dee8e41440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40ce9e0030a449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d12a955351244d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6c947506d8459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54b729e0e414ef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1b59ee9bfa974fdd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  <x:col min="4" max="4" width="28" hidden="0" customWidth="1"/>
    <x:col min="5" max="5" width="18" hidden="0" customWidth="1"/>
    <x:col min="6" max="6" width="42" hidden="0" customWidth="1"/>
  </x:cols>
  <x:sheetData>
    <x:row r="1" ht="28" customHeight="1">
      <x:c r="A1" s="6" t="str">
        <x:v>ASO Phase 5 Workbook — Dynamics 365 Sales AI Agents and Copilot Sales Agents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Customer-ready enterprise/MVP tracking workbook for Agentic Sales Orchestrator.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22" t="str">
        <x:v>Current phase</x:v>
      </x:c>
      <x:c r="B4" s="28" t="str">
        <x:v>Phase 5</x:v>
      </x:c>
      <x:c r="D4" s="22" t="str">
        <x:v>Phase Control Dashboard</x:v>
      </x:c>
      <x:c r="E4" s="22"/>
      <x:c r="F4" s="22"/>
      <x:c r="G4" s="22"/>
      <x:c r="H4" s="22"/>
      <x:c r="I4" s="22"/>
      <x:c r="J4" s="22"/>
    </x:row>
    <x:row r="5">
      <x:c r="A5" s="22" t="str">
        <x:v>Objective</x:v>
      </x:c>
      <x:c r="B5" s="28" t="str">
        <x:v>Configure Sales Qualification and Sales Opportunity/Deal Close agent capabilities as seller-facing intelligence, not workflow execution or communication ownership.</x:v>
      </x:c>
      <x:c r="D5" s="34" t="str">
        <x:v>Total tasks</x:v>
      </x:c>
      <x:c r="E5" s="42" t="n">
        <x:f>COUNTA('Build Tracker'!A5:A300)</x:f>
        <x:v>15</x:v>
      </x:c>
    </x:row>
    <x:row r="6">
      <x:c r="A6" s="22" t="str">
        <x:v>Primary solution/component</x:v>
      </x:c>
      <x:c r="B6" s="28" t="str">
        <x:v>Dynamics 365 Sales / Sales Hub / ASO.Core</x:v>
      </x:c>
      <x:c r="D6" s="34" t="str">
        <x:v>Done</x:v>
      </x:c>
      <x:c r="E6" s="42" t="n">
        <x:f>COUNTIF('Build Tracker'!G5:G300,"Done")</x:f>
        <x:v>0</x:v>
      </x:c>
    </x:row>
    <x:row r="7">
      <x:c r="A7" s="22" t="str">
        <x:v>Source of truth</x:v>
      </x:c>
      <x:c r="B7" s="28" t="str">
        <x:v>MAIN_Agentic Sales Orchestrator - Build Guide.md — Phase 5 / Sales AI Agents sections</x:v>
      </x:c>
      <x:c r="D7" s="34" t="str">
        <x:v>In progress</x:v>
      </x:c>
      <x:c r="E7" s="42" t="n">
        <x:f>COUNTIF('Build Tracker'!G5:G300,"In Progress")</x:f>
        <x:v>0</x:v>
      </x:c>
    </x:row>
    <x:row r="8">
      <x:c r="A8" s="22" t="str">
        <x:v>Enterprise target</x:v>
      </x:c>
      <x:c r="B8" s="28" t="str">
        <x:v>AI Hub prerequisites met, Sales Qualification Agent and Sales Opportunity/Deal Close Agent configured, tested against pilot records, and outputs normalized for Foundry/Power Automate governance.</x:v>
      </x:c>
      <x:c r="D8" s="34" t="str">
        <x:v>Blocked</x:v>
      </x:c>
      <x:c r="E8" s="42" t="n">
        <x:f>COUNTIF('Build Tracker'!G5:G300,"Blocked")</x:f>
        <x:v>0</x:v>
      </x:c>
    </x:row>
    <x:row r="9">
      <x:c r="A9" s="22" t="str">
        <x:v>MVP/trial adaptation</x:v>
      </x:c>
      <x:c r="B9" s="28" t="str">
        <x:v>Use research-only or restricted engagement if agent entitlement exists; otherwise simulate outputs in normalized Dataverse fields and document entitlement gaps.</x:v>
      </x:c>
      <x:c r="D9" s="34" t="str">
        <x:v>Completion %</x:v>
      </x:c>
      <x:c r="E9" s="46" t="n">
        <x:f>IFERROR(COUNTIF('Build Tracker'!G5:G300,"Done")/COUNTA('Build Tracker'!A5:A300),0)</x:f>
        <x:v>0</x:v>
      </x:c>
    </x:row>
    <x:row r="10">
      <x:c r="A10" s="22" t="str">
        <x:v>Non-negotiable</x:v>
      </x:c>
      <x:c r="B10" s="28" t="str">
        <x:v>Sales agents must not post to ERP, execute workflow, bypass Foundry policy, or send lifecycle customer communications outside Customer Insights.</x:v>
      </x:c>
      <x:c r="D10" s="34" t="str">
        <x:v>Open risks/issues</x:v>
      </x:c>
      <x:c r="E10" s="42" t="n">
        <x:f>COUNTIFS('Risk &amp; Issue Log'!A5:A300,"&lt;&gt;",'Risk &amp; Issue Log'!H5:H300,"&lt;&gt;Closed")</x:f>
        <x:v>3</x:v>
      </x:c>
    </x:row>
    <x:row r="11">
      <x:c r="D11" s="34" t="str">
        <x:v>Open production gaps</x:v>
      </x:c>
      <x:c r="E11" s="42" t="n">
        <x:f>COUNTIFS('Production Gap Log'!A5:A300,"&lt;&gt;",'Production Gap Log'!G5:G300,"&lt;&gt;Closed")</x:f>
        <x:v>3</x:v>
      </x:c>
    </x:row>
    <x:row r="12">
      <x:c r="D12" s="34" t="str">
        <x:v>Validation passed</x:v>
      </x:c>
      <x:c r="E12" s="42" t="n">
        <x:f>COUNTIF('Validation Checklist'!F5:F300,"Yes")</x:f>
        <x:v>0</x:v>
      </x:c>
    </x:row>
    <x:row r="15">
      <x:c r="D15" s="51" t="str">
        <x:v>Phase Gate Criteria</x:v>
      </x:c>
      <x:c r="E15" s="51" t="str">
        <x:v>Status</x:v>
      </x:c>
      <x:c r="F15" s="51" t="str">
        <x:v>Evidence / notes</x:v>
      </x:c>
    </x:row>
    <x:row r="16">
      <x:c r="D16" s="28" t="str">
        <x:v>Prerequisites confirmed</x:v>
      </x:c>
      <x:c r="E16" s="28" t="str">
        <x:v>Not Started</x:v>
      </x:c>
      <x:c r="F16" s="28" t="str"/>
    </x:row>
    <x:row r="17">
      <x:c r="D17" s="28" t="str">
        <x:v>Build tracker complete or deferred with approval</x:v>
      </x:c>
      <x:c r="E17" s="28" t="str">
        <x:v>Not Started</x:v>
      </x:c>
      <x:c r="F17" s="28" t="str"/>
    </x:row>
    <x:row r="18">
      <x:c r="D18" s="28" t="str">
        <x:v>Validation checklist passed</x:v>
      </x:c>
      <x:c r="E18" s="28" t="str">
        <x:v>Not Started</x:v>
      </x:c>
      <x:c r="F18" s="28" t="str"/>
    </x:row>
    <x:row r="19">
      <x:c r="D19" s="28" t="str">
        <x:v>Risks/issues assessed</x:v>
      </x:c>
      <x:c r="E19" s="28" t="str">
        <x:v>Not Started</x:v>
      </x:c>
      <x:c r="F19" s="28" t="str"/>
    </x:row>
    <x:row r="20">
      <x:c r="D20" s="28" t="str">
        <x:v>Production gaps logged</x:v>
      </x:c>
      <x:c r="E20" s="28" t="str">
        <x:v>Not Started</x:v>
      </x:c>
      <x:c r="F20" s="28" t="str"/>
    </x:row>
    <x:row r="21">
      <x:c r="D21" s="28" t="str">
        <x:v>Solution/export evidence recorded</x:v>
      </x:c>
      <x:c r="E21" s="28" t="str">
        <x:v>Not Started</x:v>
      </x:c>
      <x:c r="F21" s="28" t="str"/>
    </x:row>
    <x:row r="22">
      <x:c r="D22" s="28" t="str">
        <x:v>Architecture boundaries preserved</x:v>
      </x:c>
      <x:c r="E22" s="28" t="str">
        <x:v>Not Started</x:v>
      </x:c>
      <x:c r="F22" s="28" t="str"/>
    </x:row>
  </x:sheetData>
  <x:mergeCells>
    <x:mergeCell ref="A1:J1"/>
    <x:mergeCell ref="A2:J2"/>
    <x:mergeCell ref="D4:J4"/>
  </x:mergeCells>
  <x:dataValidations count="1">
    <x:dataValidation type="list" sqref="E16:E22">
      <x:formula1>"Not Started,In Progress,Blocked,Deferred,Done,N/A"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6" t="str">
        <x:v>Phase 5 Charter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Scope, assumptions, boundaries, and operating model for this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Field</x:v>
      </x:c>
      <x:c r="B4" s="51" t="str">
        <x:v>Value</x:v>
      </x:c>
    </x:row>
    <x:row r="5">
      <x:c r="A5" s="28" t="str">
        <x:v>Phase</x:v>
      </x:c>
      <x:c r="B5" s="28" t="str">
        <x:v>Phase 5 — Dynamics 365 Sales AI Agents and Copilot Sales Agents</x:v>
      </x:c>
    </x:row>
    <x:row r="6">
      <x:c r="A6" s="28" t="str">
        <x:v>Objective</x:v>
      </x:c>
      <x:c r="B6" s="28" t="str">
        <x:v>Configure Sales Qualification and Sales Opportunity/Deal Close agent capabilities as seller-facing intelligence, not workflow execution or communication ownership.</x:v>
      </x:c>
    </x:row>
    <x:row r="7">
      <x:c r="A7" s="28" t="str">
        <x:v>Source of truth</x:v>
      </x:c>
      <x:c r="B7" s="28" t="str">
        <x:v>MAIN_Agentic Sales Orchestrator - Build Guide.md — Phase 5 / Sales AI Agents sections</x:v>
      </x:c>
    </x:row>
    <x:row r="8">
      <x:c r="A8" s="28" t="str">
        <x:v>Primary solution/component</x:v>
      </x:c>
      <x:c r="B8" s="28" t="str">
        <x:v>Dynamics 365 Sales / Sales Hub / ASO.Core</x:v>
      </x:c>
    </x:row>
    <x:row r="9">
      <x:c r="A9" s="28" t="str">
        <x:v>Enterprise target</x:v>
      </x:c>
      <x:c r="B9" s="28" t="str">
        <x:v>AI Hub prerequisites met, Sales Qualification Agent and Sales Opportunity/Deal Close Agent configured, tested against pilot records, and outputs normalized for Foundry/Power Automate governance.</x:v>
      </x:c>
    </x:row>
    <x:row r="10">
      <x:c r="A10" s="28" t="str">
        <x:v>MVP/trial-friendly implementation</x:v>
      </x:c>
      <x:c r="B10" s="28" t="str">
        <x:v>Use research-only or restricted engagement if agent entitlement exists; otherwise simulate outputs in normalized Dataverse fields and document entitlement gaps.</x:v>
      </x:c>
    </x:row>
    <x:row r="11">
      <x:c r="A11" s="28" t="str">
        <x:v>What to simulate if blocked</x:v>
      </x:c>
      <x:c r="B11" s="28" t="str">
        <x:v>Use mocks/placeholders/manual validation only where product trial or licensing limits block the real enterprise component. Record every shortcut as MVP-only.</x:v>
      </x:c>
    </x:row>
    <x:row r="12">
      <x:c r="A12" s="28" t="str">
        <x:v>What to skip for now</x:v>
      </x:c>
      <x:c r="B12" s="28" t="str">
        <x:v>Sales agents must not post to ERP, execute workflow, bypass Foundry policy, or send lifecycle customer communications outside Customer Insights.</x:v>
      </x:c>
    </x:row>
    <x:row r="13">
      <x:c r="A13" s="28" t="str">
        <x:v>Architecture boundary</x:v>
      </x:c>
      <x:c r="B13" s="28" t="str">
        <x:v>Dataverse is operational truth; Customer Insights handles outbound lifecycle communications; Power Automate executes deterministically; Foundry orchestrates; SAP only through APIM + Azure Functions; HubSpot is ingress only and last.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46" hidden="0" customWidth="1"/>
    <x:col min="5" max="5" width="42" hidden="0" customWidth="1"/>
    <x:col min="6" max="6" width="22" hidden="0" customWidth="1"/>
    <x:col min="7" max="7" width="16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12" max="12" width="30" hidden="0" customWidth="1"/>
    <x:col min="13" max="13" width="24" hidden="0" customWidth="1"/>
    <x:col min="14" max="14" width="36" hidden="0" customWidth="1"/>
  </x:cols>
  <x:sheetData>
    <x:row r="1" ht="28" customHeight="1">
      <x:c r="A1" s="6" t="str">
        <x:v>Phase 5 Build Tracker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every build/configuration item through owner, status, evidence and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Work item</x:v>
      </x:c>
      <x:c r="C4" s="51" t="str">
        <x:v>Stream</x:v>
      </x:c>
      <x:c r="D4" s="51" t="str">
        <x:v>Implementation instruction</x:v>
      </x:c>
      <x:c r="E4" s="51" t="str">
        <x:v>Expected outcome</x:v>
      </x:c>
      <x:c r="F4" s="51" t="str">
        <x:v>Owner role</x:v>
      </x:c>
      <x:c r="G4" s="51" t="str">
        <x:v>Status</x:v>
      </x:c>
      <x:c r="H4" s="51" t="str">
        <x:v>Priority</x:v>
      </x:c>
      <x:c r="I4" s="51" t="str">
        <x:v>Start date</x:v>
      </x:c>
      <x:c r="J4" s="51" t="str">
        <x:v>Target date</x:v>
      </x:c>
      <x:c r="K4" s="51" t="str">
        <x:v>Completed date</x:v>
      </x:c>
      <x:c r="L4" s="51" t="str">
        <x:v>Evidence / link</x:v>
      </x:c>
      <x:c r="M4" s="51" t="str">
        <x:v>Validation result</x:v>
      </x:c>
      <x:c r="N4" s="51" t="str">
        <x:v>Notes</x:v>
      </x:c>
    </x:row>
    <x:row r="5">
      <x:c r="A5" s="28" t="str">
        <x:v>5.1</x:v>
      </x:c>
      <x:c r="B5" s="28" t="str">
        <x:v>Confirm Sales app and AI Hub prerequisites</x:v>
      </x:c>
      <x:c r="C5" s="28" t="str">
        <x:v>Prerequisite</x:v>
      </x:c>
      <x:c r="D5" s="28" t="str">
        <x:v>Sales installed, security role, Copilot/AI entitlement, server-side sync if needed</x:v>
      </x:c>
      <x:c r="E5" s="28" t="str">
        <x:v>Prereqs passed or gaps logged</x:v>
      </x:c>
      <x:c r="F5" s="28" t="str">
        <x:v>Sales Admin</x:v>
      </x:c>
      <x:c r="G5" s="28" t="str">
        <x:v>Not Started</x:v>
      </x:c>
      <x:c r="H5" s="28" t="str">
        <x:v>High</x:v>
      </x:c>
      <x:c r="I5" s="28" t="str"/>
      <x:c r="J5" s="28" t="str"/>
      <x:c r="K5" s="28" t="str"/>
      <x:c r="L5" s="28" t="str"/>
      <x:c r="M5" s="28" t="str"/>
      <x:c r="N5" s="28" t="str"/>
    </x:row>
    <x:row r="6">
      <x:c r="A6" s="28" t="str">
        <x:v>5.2</x:v>
      </x:c>
      <x:c r="B6" s="28" t="str">
        <x:v>Open Dynamics 365 AI Hub</x:v>
      </x:c>
      <x:c r="C6" s="28" t="str">
        <x:v>Configuration</x:v>
      </x:c>
      <x:c r="D6" s="28" t="str">
        <x:v>Sales Hub &gt; App Settings &gt; Dynamics 365 AI hub</x:v>
      </x:c>
      <x:c r="E6" s="28" t="str">
        <x:v>AI Hub accessible</x:v>
      </x:c>
      <x:c r="F6" s="28" t="str">
        <x:v>Sales Admin</x:v>
      </x:c>
      <x:c r="G6" s="28" t="str">
        <x:v>Not Started</x:v>
      </x:c>
      <x:c r="H6" s="28" t="str">
        <x:v>Medium</x:v>
      </x:c>
      <x:c r="I6" s="28" t="str"/>
      <x:c r="J6" s="28" t="str"/>
      <x:c r="K6" s="28" t="str"/>
      <x:c r="L6" s="28" t="str"/>
      <x:c r="M6" s="28" t="str"/>
      <x:c r="N6" s="28" t="str"/>
    </x:row>
    <x:row r="7">
      <x:c r="A7" s="28" t="str">
        <x:v>5.3</x:v>
      </x:c>
      <x:c r="B7" s="28" t="str">
        <x:v>Create/configure Sales Qualification Agent</x:v>
      </x:c>
      <x:c r="C7" s="28" t="str">
        <x:v>Agent</x:v>
      </x:c>
      <x:c r="D7" s="28" t="str">
        <x:v>ASO - Sales Qualification Agent - DEV</x:v>
      </x:c>
      <x:c r="E7" s="28" t="str">
        <x:v>Agent created/configured</x:v>
      </x:c>
      <x:c r="F7" s="28" t="str">
        <x:v>Sales Admin</x:v>
      </x:c>
      <x:c r="G7" s="28" t="str">
        <x:v>Not Started</x:v>
      </x:c>
      <x:c r="H7" s="28" t="str">
        <x:v>High</x:v>
      </x:c>
      <x:c r="I7" s="28" t="str"/>
      <x:c r="J7" s="28" t="str"/>
      <x:c r="K7" s="28" t="str"/>
      <x:c r="L7" s="28" t="str"/>
      <x:c r="M7" s="28" t="str"/>
      <x:c r="N7" s="28" t="str"/>
    </x:row>
    <x:row r="8">
      <x:c r="A8" s="28" t="str">
        <x:v>5.4</x:v>
      </x:c>
      <x:c r="B8" s="28" t="str">
        <x:v>Choose agent mode</x:v>
      </x:c>
      <x:c r="C8" s="28" t="str">
        <x:v>Agent</x:v>
      </x:c>
      <x:c r="D8" s="28" t="str">
        <x:v>Recommended Research-only first</x:v>
      </x:c>
      <x:c r="E8" s="28" t="str">
        <x:v>Mode documented</x:v>
      </x:c>
      <x:c r="F8" s="28" t="str">
        <x:v>Solution Architect</x:v>
      </x:c>
      <x:c r="G8" s="28" t="str">
        <x:v>Not Started</x:v>
      </x:c>
      <x:c r="H8" s="28" t="str">
        <x:v>High</x:v>
      </x:c>
      <x:c r="I8" s="28" t="str"/>
      <x:c r="J8" s="28" t="str"/>
      <x:c r="K8" s="28" t="str"/>
      <x:c r="L8" s="28" t="str"/>
      <x:c r="M8" s="28" t="str"/>
      <x:c r="N8" s="28" t="str"/>
    </x:row>
    <x:row r="9">
      <x:c r="A9" s="28" t="str">
        <x:v>5.5</x:v>
      </x:c>
      <x:c r="B9" s="28" t="str">
        <x:v>Configure company information</x:v>
      </x:c>
      <x:c r="C9" s="28" t="str">
        <x:v>Agent Profile</x:v>
      </x:c>
      <x:c r="D9" s="28" t="str">
        <x:v>Company, products, industries, exclusions, personas, boundaries</x:v>
      </x:c>
      <x:c r="E9" s="28" t="str">
        <x:v>Profile completed</x:v>
      </x:c>
      <x:c r="F9" s="28" t="str">
        <x:v>Sales Admin</x:v>
      </x:c>
      <x:c r="G9" s="28" t="str">
        <x:v>Not Started</x:v>
      </x:c>
      <x:c r="H9" s="28" t="str">
        <x:v>Medium</x:v>
      </x:c>
      <x:c r="I9" s="28" t="str"/>
      <x:c r="J9" s="28" t="str"/>
      <x:c r="K9" s="28" t="str"/>
      <x:c r="L9" s="28" t="str"/>
      <x:c r="M9" s="28" t="str"/>
      <x:c r="N9" s="28" t="str"/>
    </x:row>
    <x:row r="10">
      <x:c r="A10" s="28" t="str">
        <x:v>5.6</x:v>
      </x:c>
      <x:c r="B10" s="28" t="str">
        <x:v>Configure target customer profile</x:v>
      </x:c>
      <x:c r="C10" s="28" t="str">
        <x:v>Agent Profile</x:v>
      </x:c>
      <x:c r="D10" s="28" t="str">
        <x:v>Industry, company size, revenue, geography, job titles, exclusions</x:v>
      </x:c>
      <x:c r="E10" s="28" t="str">
        <x:v>Target profile completed</x:v>
      </x:c>
      <x:c r="F10" s="28" t="str">
        <x:v>Sales Admin</x:v>
      </x:c>
      <x:c r="G10" s="28" t="str">
        <x:v>Not Started</x:v>
      </x:c>
      <x:c r="H10" s="28" t="str">
        <x:v>Medium</x:v>
      </x:c>
      <x:c r="I10" s="28" t="str"/>
      <x:c r="J10" s="28" t="str"/>
      <x:c r="K10" s="28" t="str"/>
      <x:c r="L10" s="28" t="str"/>
      <x:c r="M10" s="28" t="str"/>
      <x:c r="N10" s="28" t="str"/>
    </x:row>
    <x:row r="11">
      <x:c r="A11" s="28" t="str">
        <x:v>5.7</x:v>
      </x:c>
      <x:c r="B11" s="28" t="str">
        <x:v>Configure lead selection criteria</x:v>
      </x:c>
      <x:c r="C11" s="28" t="str">
        <x:v>Agent Selection</x:v>
      </x:c>
      <x:c r="D11" s="28" t="str">
        <x:v>Open leads, pilot scope, exclude Running</x:v>
      </x:c>
      <x:c r="E11" s="28" t="str">
        <x:v>Selection criteria tested</x:v>
      </x:c>
      <x:c r="F11" s="28" t="str">
        <x:v>Sales Admin</x:v>
      </x:c>
      <x:c r="G11" s="28" t="str">
        <x:v>Not Started</x:v>
      </x:c>
      <x:c r="H11" s="28" t="str">
        <x:v>High</x:v>
      </x:c>
      <x:c r="I11" s="28" t="str"/>
      <x:c r="J11" s="28" t="str"/>
      <x:c r="K11" s="28" t="str"/>
      <x:c r="L11" s="28" t="str"/>
      <x:c r="M11" s="28" t="str"/>
      <x:c r="N11" s="28" t="str"/>
    </x:row>
    <x:row r="12">
      <x:c r="A12" s="28" t="str">
        <x:v>5.8</x:v>
      </x:c>
      <x:c r="B12" s="28" t="str">
        <x:v>Configure Sales Opportunity/Deal Close Agent</x:v>
      </x:c>
      <x:c r="C12" s="28" t="str">
        <x:v>Agent</x:v>
      </x:c>
      <x:c r="D12" s="28" t="str">
        <x:v>Opportunity/deal intelligence configuration</x:v>
      </x:c>
      <x:c r="E12" s="28" t="str">
        <x:v>Agent configured</x:v>
      </x:c>
      <x:c r="F12" s="28" t="str">
        <x:v>Sales Admin</x:v>
      </x:c>
      <x:c r="G12" s="28" t="str">
        <x:v>Not Started</x:v>
      </x:c>
      <x:c r="H12" s="28" t="str">
        <x:v>High</x:v>
      </x:c>
      <x:c r="I12" s="28" t="str"/>
      <x:c r="J12" s="28" t="str"/>
      <x:c r="K12" s="28" t="str"/>
      <x:c r="L12" s="28" t="str"/>
      <x:c r="M12" s="28" t="str"/>
      <x:c r="N12" s="28" t="str"/>
    </x:row>
    <x:row r="13">
      <x:c r="A13" s="28" t="str">
        <x:v>5.9</x:v>
      </x:c>
      <x:c r="B13" s="28" t="str">
        <x:v>Configure opportunity pilot segment</x:v>
      </x:c>
      <x:c r="C13" s="28" t="str">
        <x:v>Agent Selection</x:v>
      </x:c>
      <x:c r="D13" s="28" t="str">
        <x:v>Open active opportunities, revenue threshold, close date, pilot BU</x:v>
      </x:c>
      <x:c r="E13" s="28" t="str">
        <x:v>Pilot segment created</x:v>
      </x:c>
      <x:c r="F13" s="28" t="str">
        <x:v>Sales Admin</x:v>
      </x:c>
      <x:c r="G13" s="28" t="str">
        <x:v>Not Started</x:v>
      </x:c>
      <x:c r="H13" s="28" t="str">
        <x:v>Medium</x:v>
      </x:c>
      <x:c r="I13" s="28" t="str"/>
      <x:c r="J13" s="28" t="str"/>
      <x:c r="K13" s="28" t="str"/>
      <x:c r="L13" s="28" t="str"/>
      <x:c r="M13" s="28" t="str"/>
      <x:c r="N13" s="28" t="str"/>
    </x:row>
    <x:row r="14">
      <x:c r="A14" s="28" t="str">
        <x:v>5.10</x:v>
      </x:c>
      <x:c r="B14" s="28" t="str">
        <x:v>Configure risk/importance criteria</x:v>
      </x:c>
      <x:c r="C14" s="28" t="str">
        <x:v>Agent Logic</x:v>
      </x:c>
      <x:c r="D14" s="28" t="str">
        <x:v>Stalled stage, close pushes, no activity, stakeholder gaps, engagement, SAP summary fields</x:v>
      </x:c>
      <x:c r="E14" s="28" t="str">
        <x:v>Criteria documented</x:v>
      </x:c>
      <x:c r="F14" s="28" t="str">
        <x:v>Sales Admin</x:v>
      </x:c>
      <x:c r="G14" s="28" t="str">
        <x:v>Not Started</x:v>
      </x:c>
      <x:c r="H14" s="28" t="str">
        <x:v>Medium</x:v>
      </x:c>
      <x:c r="I14" s="28" t="str"/>
      <x:c r="J14" s="28" t="str"/>
      <x:c r="K14" s="28" t="str"/>
      <x:c r="L14" s="28" t="str"/>
      <x:c r="M14" s="28" t="str"/>
      <x:c r="N14" s="28" t="str"/>
    </x:row>
    <x:row r="15">
      <x:c r="A15" s="28" t="str">
        <x:v>5.11</x:v>
      </x:c>
      <x:c r="B15" s="28" t="str">
        <x:v>Configure knowledge sources</x:v>
      </x:c>
      <x:c r="C15" s="28" t="str">
        <x:v>Knowledge</x:v>
      </x:c>
      <x:c r="D15" s="28" t="str">
        <x:v>Approved websites/playbooks/battlecards; no unmanaged ERP extracts</x:v>
      </x:c>
      <x:c r="E15" s="28" t="str">
        <x:v>Sources approved</x:v>
      </x:c>
      <x:c r="F15" s="28" t="str">
        <x:v>Sales Admin</x:v>
      </x:c>
      <x:c r="G15" s="28" t="str">
        <x:v>Not Started</x:v>
      </x:c>
      <x:c r="H15" s="28" t="str">
        <x:v>Medium</x:v>
      </x:c>
      <x:c r="I15" s="28" t="str"/>
      <x:c r="J15" s="28" t="str"/>
      <x:c r="K15" s="28" t="str"/>
      <x:c r="L15" s="28" t="str"/>
      <x:c r="M15" s="28" t="str"/>
      <x:c r="N15" s="28" t="str"/>
    </x:row>
    <x:row r="16">
      <x:c r="A16" s="28" t="str">
        <x:v>5.12</x:v>
      </x:c>
      <x:c r="B16" s="28" t="str">
        <x:v>Test qualification agent</x:v>
      </x:c>
      <x:c r="C16" s="28" t="str">
        <x:v>Testing</x:v>
      </x:c>
      <x:c r="D16" s="28" t="str">
        <x:v>Create 5-10 pilot leads and review outputs</x:v>
      </x:c>
      <x:c r="E16" s="28" t="str">
        <x:v>Results logged</x:v>
      </x:c>
      <x:c r="F16" s="28" t="str">
        <x:v>Tester</x:v>
      </x:c>
      <x:c r="G16" s="28" t="str">
        <x:v>Not Started</x:v>
      </x:c>
      <x:c r="H16" s="28" t="str">
        <x:v>High</x:v>
      </x:c>
      <x:c r="I16" s="28" t="str"/>
      <x:c r="J16" s="28" t="str"/>
      <x:c r="K16" s="28" t="str"/>
      <x:c r="L16" s="28" t="str"/>
      <x:c r="M16" s="28" t="str"/>
      <x:c r="N16" s="28" t="str"/>
    </x:row>
    <x:row r="17">
      <x:c r="A17" s="28" t="str">
        <x:v>5.13</x:v>
      </x:c>
      <x:c r="B17" s="28" t="str">
        <x:v>Test opportunity/deal agent</x:v>
      </x:c>
      <x:c r="C17" s="28" t="str">
        <x:v>Testing</x:v>
      </x:c>
      <x:c r="D17" s="28" t="str">
        <x:v>Create 5-10 pilot opportunities and review outputs</x:v>
      </x:c>
      <x:c r="E17" s="28" t="str">
        <x:v>Results logged</x:v>
      </x:c>
      <x:c r="F17" s="28" t="str">
        <x:v>Tester</x:v>
      </x:c>
      <x:c r="G17" s="28" t="str">
        <x:v>Not Started</x:v>
      </x:c>
      <x:c r="H17" s="28" t="str">
        <x:v>High</x:v>
      </x:c>
      <x:c r="I17" s="28" t="str"/>
      <x:c r="J17" s="28" t="str"/>
      <x:c r="K17" s="28" t="str"/>
      <x:c r="L17" s="28" t="str"/>
      <x:c r="M17" s="28" t="str"/>
      <x:c r="N17" s="28" t="str"/>
    </x:row>
    <x:row r="18">
      <x:c r="A18" s="28" t="str">
        <x:v>5.14</x:v>
      </x:c>
      <x:c r="B18" s="28" t="str">
        <x:v>Define output normalization pattern</x:v>
      </x:c>
      <x:c r="C18" s="28" t="str">
        <x:v>Integration Design</x:v>
      </x:c>
      <x:c r="D18" s="28" t="str">
        <x:v>Map outputs to Lead/Opportunity fields or Sales Agent Insight Snapshot</x:v>
      </x:c>
      <x:c r="E18" s="28" t="str">
        <x:v>Mapping registered</x:v>
      </x:c>
      <x:c r="F18" s="28" t="str">
        <x:v>Solution Architect</x:v>
      </x:c>
      <x:c r="G18" s="28" t="str">
        <x:v>Not Started</x:v>
      </x:c>
      <x:c r="H18" s="28" t="str">
        <x:v>High</x:v>
      </x:c>
      <x:c r="I18" s="28" t="str"/>
      <x:c r="J18" s="28" t="str"/>
      <x:c r="K18" s="28" t="str"/>
      <x:c r="L18" s="28" t="str"/>
      <x:c r="M18" s="28" t="str"/>
      <x:c r="N18" s="28" t="str"/>
    </x:row>
    <x:row r="19">
      <x:c r="A19" s="28" t="str">
        <x:v>5.15</x:v>
      </x:c>
      <x:c r="B19" s="28" t="str">
        <x:v>Phase gate: agent boundaries validated</x:v>
      </x:c>
      <x:c r="C19" s="28" t="str">
        <x:v>Gate</x:v>
      </x:c>
      <x:c r="D19" s="28" t="str">
        <x:v>No ERP action and no lifecycle communication sent</x:v>
      </x:c>
      <x:c r="E19" s="28" t="str">
        <x:v>Gate signed off</x:v>
      </x:c>
      <x:c r="F19" s="28" t="str">
        <x:v>Solution Architect</x:v>
      </x:c>
      <x:c r="G19" s="28" t="str">
        <x:v>Not Started</x:v>
      </x:c>
      <x:c r="H19" s="28" t="str">
        <x:v>High</x:v>
      </x:c>
      <x:c r="I19" s="28" t="str"/>
      <x:c r="J19" s="28" t="str"/>
      <x:c r="K19" s="28" t="str"/>
      <x:c r="L19" s="28" t="str"/>
      <x:c r="M19" s="28" t="str"/>
      <x:c r="N19" s="28" t="str"/>
    </x:row>
  </x:sheetData>
  <x:mergeCells>
    <x:mergeCell ref="A1:J1"/>
    <x:mergeCell ref="A2:J2"/>
  </x:mergeCells>
  <x:conditionalFormatting sqref="G5:G19">
    <x:cfRule type="expression" dxfId="0" priority="1">
      <x:formula>G5="Done"</x:formula>
    </x:cfRule>
    <x:cfRule type="expression" dxfId="1" priority="2">
      <x:formula>G5="Blocked"</x:formula>
    </x:cfRule>
    <x:cfRule type="expression" dxfId="2" priority="3">
      <x:formula>G5="In Progress"</x:formula>
    </x:cfRule>
  </x:conditionalFormatting>
  <x:dataValidations count="2">
    <x:dataValidation type="list" sqref="G5:G19">
      <x:formula1>"Not Started,In Progress,Blocked,Deferred,Done,N/A"</x:formula1>
    </x:dataValidation>
    <x:dataValidation type="list" sqref="H5:H19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2185d66ec54c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28" hidden="0" customWidth="1"/>
    <x:col min="4" max="4" width="38" hidden="0" customWidth="1"/>
    <x:col min="5" max="5" width="34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28" customHeight="1">
      <x:c r="A1" s="6" t="str">
        <x:v>Phase 5 Click-by-Click Runbook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Operational build notes for step-by-step execution. Keep evidence and blockers current.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Step</x:v>
      </x:c>
      <x:c r="B4" s="51" t="str">
        <x:v>Click path / action</x:v>
      </x:c>
      <x:c r="C4" s="51" t="str">
        <x:v>Exact name or value</x:v>
      </x:c>
      <x:c r="D4" s="51" t="str">
        <x:v>Configuration notes</x:v>
      </x:c>
      <x:c r="E4" s="51" t="str">
        <x:v>Expected UI result</x:v>
      </x:c>
      <x:c r="F4" s="51" t="str">
        <x:v>Common mistake to avoid</x:v>
      </x:c>
      <x:c r="G4" s="51" t="str">
        <x:v>Status</x:v>
      </x:c>
      <x:c r="H4" s="51" t="str">
        <x:v>Evidence</x:v>
      </x:c>
    </x:row>
    <x:row r="5">
      <x:c r="A5" s="28" t="str">
        <x:v>5.1</x:v>
      </x:c>
      <x:c r="B5" s="28" t="str">
        <x:v>Sales installed, security role, Copilot/AI entitlement, server-side sync if needed</x:v>
      </x:c>
      <x:c r="C5" s="28" t="str"/>
      <x:c r="D5" s="28" t="str">
        <x:v>Prereqs passed or gaps logged</x:v>
      </x:c>
      <x:c r="E5" s="28" t="str">
        <x:v>Visible/configured in the correct solution/component</x:v>
      </x:c>
      <x:c r="F5" s="28" t="str">
        <x:v>Sales agents must not post to ERP, execute workflow, bypass Foundry policy, or send lifecycle customer communications outside Customer Insights.</x:v>
      </x:c>
      <x:c r="G5" s="28" t="str">
        <x:v>Not Started</x:v>
      </x:c>
      <x:c r="H5" s="28" t="str"/>
    </x:row>
    <x:row r="6">
      <x:c r="A6" s="28" t="str">
        <x:v>5.2</x:v>
      </x:c>
      <x:c r="B6" s="28" t="str">
        <x:v>Sales Hub &gt; App Settings &gt; Dynamics 365 AI hub</x:v>
      </x:c>
      <x:c r="C6" s="28" t="str"/>
      <x:c r="D6" s="28" t="str">
        <x:v>AI Hub accessible</x:v>
      </x:c>
      <x:c r="E6" s="28" t="str">
        <x:v>Visible/configured in the correct solution/component</x:v>
      </x:c>
      <x:c r="F6" s="28" t="str">
        <x:v>Sales agents must not post to ERP, execute workflow, bypass Foundry policy, or send lifecycle customer communications outside Customer Insights.</x:v>
      </x:c>
      <x:c r="G6" s="28" t="str">
        <x:v>Not Started</x:v>
      </x:c>
      <x:c r="H6" s="28" t="str"/>
    </x:row>
    <x:row r="7">
      <x:c r="A7" s="28" t="str">
        <x:v>5.3</x:v>
      </x:c>
      <x:c r="B7" s="28" t="str">
        <x:v>ASO - Sales Qualification Agent - DEV</x:v>
      </x:c>
      <x:c r="C7" s="28" t="str"/>
      <x:c r="D7" s="28" t="str">
        <x:v>Agent created/configured</x:v>
      </x:c>
      <x:c r="E7" s="28" t="str">
        <x:v>Visible/configured in the correct solution/component</x:v>
      </x:c>
      <x:c r="F7" s="28" t="str">
        <x:v>Sales agents must not post to ERP, execute workflow, bypass Foundry policy, or send lifecycle customer communications outside Customer Insights.</x:v>
      </x:c>
      <x:c r="G7" s="28" t="str">
        <x:v>Not Started</x:v>
      </x:c>
      <x:c r="H7" s="28" t="str"/>
    </x:row>
    <x:row r="8">
      <x:c r="A8" s="28" t="str">
        <x:v>5.4</x:v>
      </x:c>
      <x:c r="B8" s="28" t="str">
        <x:v>Recommended Research-only first</x:v>
      </x:c>
      <x:c r="C8" s="28" t="str"/>
      <x:c r="D8" s="28" t="str">
        <x:v>Mode documented</x:v>
      </x:c>
      <x:c r="E8" s="28" t="str">
        <x:v>Visible/configured in the correct solution/component</x:v>
      </x:c>
      <x:c r="F8" s="28" t="str">
        <x:v>Sales agents must not post to ERP, execute workflow, bypass Foundry policy, or send lifecycle customer communications outside Customer Insights.</x:v>
      </x:c>
      <x:c r="G8" s="28" t="str">
        <x:v>Not Started</x:v>
      </x:c>
      <x:c r="H8" s="28" t="str"/>
    </x:row>
    <x:row r="9">
      <x:c r="A9" s="28" t="str">
        <x:v>5.5</x:v>
      </x:c>
      <x:c r="B9" s="28" t="str">
        <x:v>Company, products, industries, exclusions, personas, boundaries</x:v>
      </x:c>
      <x:c r="C9" s="28" t="str"/>
      <x:c r="D9" s="28" t="str">
        <x:v>Profile completed</x:v>
      </x:c>
      <x:c r="E9" s="28" t="str">
        <x:v>Visible/configured in the correct solution/component</x:v>
      </x:c>
      <x:c r="F9" s="28" t="str">
        <x:v>Sales agents must not post to ERP, execute workflow, bypass Foundry policy, or send lifecycle customer communications outside Customer Insights.</x:v>
      </x:c>
      <x:c r="G9" s="28" t="str">
        <x:v>Not Started</x:v>
      </x:c>
      <x:c r="H9" s="28" t="str"/>
    </x:row>
    <x:row r="10">
      <x:c r="A10" s="28" t="str">
        <x:v>5.6</x:v>
      </x:c>
      <x:c r="B10" s="28" t="str">
        <x:v>Industry, company size, revenue, geography, job titles, exclusions</x:v>
      </x:c>
      <x:c r="C10" s="28" t="str"/>
      <x:c r="D10" s="28" t="str">
        <x:v>Target profile completed</x:v>
      </x:c>
      <x:c r="E10" s="28" t="str">
        <x:v>Visible/configured in the correct solution/component</x:v>
      </x:c>
      <x:c r="F10" s="28" t="str">
        <x:v>Sales agents must not post to ERP, execute workflow, bypass Foundry policy, or send lifecycle customer communications outside Customer Insights.</x:v>
      </x:c>
      <x:c r="G10" s="28" t="str">
        <x:v>Not Started</x:v>
      </x:c>
      <x:c r="H10" s="28" t="str"/>
    </x:row>
    <x:row r="11">
      <x:c r="A11" s="28" t="str">
        <x:v>5.7</x:v>
      </x:c>
      <x:c r="B11" s="28" t="str">
        <x:v>Open leads, pilot scope, exclude Running</x:v>
      </x:c>
      <x:c r="C11" s="28" t="str"/>
      <x:c r="D11" s="28" t="str">
        <x:v>Selection criteria tested</x:v>
      </x:c>
      <x:c r="E11" s="28" t="str">
        <x:v>Visible/configured in the correct solution/component</x:v>
      </x:c>
      <x:c r="F11" s="28" t="str">
        <x:v>Sales agents must not post to ERP, execute workflow, bypass Foundry policy, or send lifecycle customer communications outside Customer Insights.</x:v>
      </x:c>
      <x:c r="G11" s="28" t="str">
        <x:v>Not Started</x:v>
      </x:c>
      <x:c r="H11" s="28" t="str"/>
    </x:row>
    <x:row r="12">
      <x:c r="A12" s="28" t="str">
        <x:v>5.8</x:v>
      </x:c>
      <x:c r="B12" s="28" t="str">
        <x:v>Opportunity/deal intelligence configuration</x:v>
      </x:c>
      <x:c r="C12" s="28" t="str"/>
      <x:c r="D12" s="28" t="str">
        <x:v>Agent configured</x:v>
      </x:c>
      <x:c r="E12" s="28" t="str">
        <x:v>Visible/configured in the correct solution/component</x:v>
      </x:c>
      <x:c r="F12" s="28" t="str">
        <x:v>Sales agents must not post to ERP, execute workflow, bypass Foundry policy, or send lifecycle customer communications outside Customer Insights.</x:v>
      </x:c>
      <x:c r="G12" s="28" t="str">
        <x:v>Not Started</x:v>
      </x:c>
      <x:c r="H12" s="28" t="str"/>
    </x:row>
    <x:row r="13">
      <x:c r="A13" s="28" t="str">
        <x:v>5.9</x:v>
      </x:c>
      <x:c r="B13" s="28" t="str">
        <x:v>Open active opportunities, revenue threshold, close date, pilot BU</x:v>
      </x:c>
      <x:c r="C13" s="28" t="str"/>
      <x:c r="D13" s="28" t="str">
        <x:v>Pilot segment created</x:v>
      </x:c>
      <x:c r="E13" s="28" t="str">
        <x:v>Visible/configured in the correct solution/component</x:v>
      </x:c>
      <x:c r="F13" s="28" t="str">
        <x:v>Sales agents must not post to ERP, execute workflow, bypass Foundry policy, or send lifecycle customer communications outside Customer Insights.</x:v>
      </x:c>
      <x:c r="G13" s="28" t="str">
        <x:v>Not Started</x:v>
      </x:c>
      <x:c r="H13" s="28" t="str"/>
    </x:row>
    <x:row r="14">
      <x:c r="A14" s="28" t="str">
        <x:v>5.10</x:v>
      </x:c>
      <x:c r="B14" s="28" t="str">
        <x:v>Stalled stage, close pushes, no activity, stakeholder gaps, engagement, SAP summary fields</x:v>
      </x:c>
      <x:c r="C14" s="28" t="str"/>
      <x:c r="D14" s="28" t="str">
        <x:v>Criteria documented</x:v>
      </x:c>
      <x:c r="E14" s="28" t="str">
        <x:v>Visible/configured in the correct solution/component</x:v>
      </x:c>
      <x:c r="F14" s="28" t="str">
        <x:v>Sales agents must not post to ERP, execute workflow, bypass Foundry policy, or send lifecycle customer communications outside Customer Insights.</x:v>
      </x:c>
      <x:c r="G14" s="28" t="str">
        <x:v>Not Started</x:v>
      </x:c>
      <x:c r="H14" s="28" t="str"/>
    </x:row>
    <x:row r="15">
      <x:c r="A15" s="28" t="str">
        <x:v>5.11</x:v>
      </x:c>
      <x:c r="B15" s="28" t="str">
        <x:v>Approved websites/playbooks/battlecards; no unmanaged ERP extracts</x:v>
      </x:c>
      <x:c r="C15" s="28" t="str"/>
      <x:c r="D15" s="28" t="str">
        <x:v>Sources approved</x:v>
      </x:c>
      <x:c r="E15" s="28" t="str">
        <x:v>Visible/configured in the correct solution/component</x:v>
      </x:c>
      <x:c r="F15" s="28" t="str">
        <x:v>Sales agents must not post to ERP, execute workflow, bypass Foundry policy, or send lifecycle customer communications outside Customer Insights.</x:v>
      </x:c>
      <x:c r="G15" s="28" t="str">
        <x:v>Not Started</x:v>
      </x:c>
      <x:c r="H15" s="28" t="str"/>
    </x:row>
    <x:row r="16">
      <x:c r="A16" s="28" t="str">
        <x:v>5.12</x:v>
      </x:c>
      <x:c r="B16" s="28" t="str">
        <x:v>Create 5-10 pilot leads and review outputs</x:v>
      </x:c>
      <x:c r="C16" s="28" t="str"/>
      <x:c r="D16" s="28" t="str">
        <x:v>Results logged</x:v>
      </x:c>
      <x:c r="E16" s="28" t="str">
        <x:v>Visible/configured in the correct solution/component</x:v>
      </x:c>
      <x:c r="F16" s="28" t="str">
        <x:v>Sales agents must not post to ERP, execute workflow, bypass Foundry policy, or send lifecycle customer communications outside Customer Insights.</x:v>
      </x:c>
      <x:c r="G16" s="28" t="str">
        <x:v>Not Started</x:v>
      </x:c>
      <x:c r="H16" s="28" t="str"/>
    </x:row>
    <x:row r="17">
      <x:c r="A17" s="28" t="str">
        <x:v>5.13</x:v>
      </x:c>
      <x:c r="B17" s="28" t="str">
        <x:v>Create 5-10 pilot opportunities and review outputs</x:v>
      </x:c>
      <x:c r="C17" s="28" t="str"/>
      <x:c r="D17" s="28" t="str">
        <x:v>Results logged</x:v>
      </x:c>
      <x:c r="E17" s="28" t="str">
        <x:v>Visible/configured in the correct solution/component</x:v>
      </x:c>
      <x:c r="F17" s="28" t="str">
        <x:v>Sales agents must not post to ERP, execute workflow, bypass Foundry policy, or send lifecycle customer communications outside Customer Insights.</x:v>
      </x:c>
      <x:c r="G17" s="28" t="str">
        <x:v>Not Started</x:v>
      </x:c>
      <x:c r="H17" s="28" t="str"/>
    </x:row>
    <x:row r="18">
      <x:c r="A18" s="28" t="str">
        <x:v>5.14</x:v>
      </x:c>
      <x:c r="B18" s="28" t="str">
        <x:v>Map outputs to Lead/Opportunity fields or Sales Agent Insight Snapshot</x:v>
      </x:c>
      <x:c r="C18" s="28" t="str"/>
      <x:c r="D18" s="28" t="str">
        <x:v>Mapping registered</x:v>
      </x:c>
      <x:c r="E18" s="28" t="str">
        <x:v>Visible/configured in the correct solution/component</x:v>
      </x:c>
      <x:c r="F18" s="28" t="str">
        <x:v>Sales agents must not post to ERP, execute workflow, bypass Foundry policy, or send lifecycle customer communications outside Customer Insights.</x:v>
      </x:c>
      <x:c r="G18" s="28" t="str">
        <x:v>Not Started</x:v>
      </x:c>
      <x:c r="H18" s="28" t="str"/>
    </x:row>
    <x:row r="19">
      <x:c r="A19" s="28" t="str">
        <x:v>5.15</x:v>
      </x:c>
      <x:c r="B19" s="28" t="str">
        <x:v>No ERP action and no lifecycle communication sent</x:v>
      </x:c>
      <x:c r="C19" s="28" t="str"/>
      <x:c r="D19" s="28" t="str">
        <x:v>Gate signed off</x:v>
      </x:c>
      <x:c r="E19" s="28" t="str">
        <x:v>Visible/configured in the correct solution/component</x:v>
      </x:c>
      <x:c r="F19" s="28" t="str">
        <x:v>Sales agents must not post to ERP, execute workflow, bypass Foundry policy, or send lifecycle customer communications outside Customer Insights.</x:v>
      </x:c>
      <x:c r="G19" s="28" t="str">
        <x:v>Not Started</x:v>
      </x:c>
      <x:c r="H19" s="28" t="str"/>
    </x:row>
  </x:sheetData>
  <x:mergeCells>
    <x:mergeCell ref="A1:J1"/>
    <x:mergeCell ref="A2:J2"/>
  </x:mergeCells>
  <x:dataValidations count="1">
    <x:dataValidation type="list" sqref="G5:G19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d7c5a5d77643e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18" hidden="0" customWidth="1"/>
    <x:col min="5" max="5" width="40" hidden="0" customWidth="1"/>
    <x:col min="6" max="6" width="20" hidden="0" customWidth="1"/>
    <x:col min="7" max="7" width="16" hidden="0" customWidth="1"/>
    <x:col min="8" max="8" width="14" hidden="0" customWidth="1"/>
    <x:col min="9" max="9" width="34" hidden="0" customWidth="1"/>
    <x:col min="10" max="10" width="30" hidden="0" customWidth="1"/>
  </x:cols>
  <x:sheetData>
    <x:row r="1" ht="28" customHeight="1">
      <x:c r="A1" s="6" t="str">
        <x:v>Phase 5 Configuration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Names, values, IDs, owners and environment-specific configuration.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Type</x:v>
      </x:c>
      <x:c r="B4" s="51" t="str">
        <x:v>Name / schema</x:v>
      </x:c>
      <x:c r="C4" s="51" t="str">
        <x:v>Purpose / value</x:v>
      </x:c>
      <x:c r="D4" s="51" t="str">
        <x:v>Required level</x:v>
      </x:c>
      <x:c r="E4" s="51" t="str">
        <x:v>MVP note</x:v>
      </x:c>
      <x:c r="F4" s="51" t="str">
        <x:v>Owner</x:v>
      </x:c>
      <x:c r="G4" s="51" t="str">
        <x:v>Status</x:v>
      </x:c>
      <x:c r="H4" s="51" t="str">
        <x:v>Environment</x:v>
      </x:c>
      <x:c r="I4" s="51" t="str">
        <x:v>Actual value / ID</x:v>
      </x:c>
      <x:c r="J4" s="51" t="str">
        <x:v>Evidence / link</x:v>
      </x:c>
    </x:row>
    <x:row r="5">
      <x:c r="A5" s="28" t="str">
        <x:v>Agent</x:v>
      </x:c>
      <x:c r="B5" s="28" t="str">
        <x:v>ASO - Sales Qualification Agent - DEV</x:v>
      </x:c>
      <x:c r="C5" s="28" t="str">
        <x:v>Lead qualification intelligence</x:v>
      </x:c>
      <x:c r="D5" s="28" t="str">
        <x:v>Preferred</x:v>
      </x:c>
      <x:c r="E5" s="28" t="str">
        <x:v>Research-only first</x:v>
      </x:c>
      <x:c r="F5" s="28" t="str"/>
      <x:c r="G5" s="28" t="str">
        <x:v>Not Started</x:v>
      </x:c>
      <x:c r="H5" s="28" t="str">
        <x:v>DEV</x:v>
      </x:c>
      <x:c r="I5" s="28" t="str"/>
      <x:c r="J5" s="28" t="str"/>
    </x:row>
    <x:row r="6">
      <x:c r="A6" s="28" t="str">
        <x:v>Agent Mode</x:v>
      </x:c>
      <x:c r="B6" s="28" t="str">
        <x:v>Research-only</x:v>
      </x:c>
      <x:c r="C6" s="28" t="str">
        <x:v>Initial safe mode</x:v>
      </x:c>
      <x:c r="D6" s="28" t="str">
        <x:v>Recommended</x:v>
      </x:c>
      <x:c r="E6" s="28" t="str">
        <x:v>Research and engage requires compliance review</x:v>
      </x:c>
      <x:c r="F6" s="28" t="str"/>
      <x:c r="G6" s="28" t="str">
        <x:v>Not Started</x:v>
      </x:c>
      <x:c r="H6" s="28" t="str">
        <x:v>DEV</x:v>
      </x:c>
      <x:c r="I6" s="28" t="str"/>
      <x:c r="J6" s="28" t="str"/>
    </x:row>
    <x:row r="7">
      <x:c r="A7" s="28" t="str">
        <x:v>Pilot Segment</x:v>
      </x:c>
      <x:c r="B7" s="28" t="str">
        <x:v>ASO Pilot Opportunities</x:v>
      </x:c>
      <x:c r="C7" s="28" t="str">
        <x:v>Opportunity agent test scope</x:v>
      </x:c>
      <x:c r="D7" s="28" t="str">
        <x:v>Recommended</x:v>
      </x:c>
      <x:c r="E7" s="28" t="str">
        <x:v>Use pilot BU/filter</x:v>
      </x:c>
      <x:c r="F7" s="28" t="str"/>
      <x:c r="G7" s="28" t="str">
        <x:v>Not Started</x:v>
      </x:c>
      <x:c r="H7" s="28" t="str">
        <x:v>DEV</x:v>
      </x:c>
      <x:c r="I7" s="28" t="str"/>
      <x:c r="J7" s="28" t="str"/>
    </x:row>
    <x:row r="8">
      <x:c r="A8" s="28" t="str">
        <x:v>Optional Table</x:v>
      </x:c>
      <x:c r="B8" s="28" t="str">
        <x:v>Sales Agent Insight Snapshot</x:v>
      </x:c>
      <x:c r="C8" s="28" t="str">
        <x:v>Normalizes agent output if native output cannot be mapped</x:v>
      </x:c>
      <x:c r="D8" s="28" t="str">
        <x:v>Optional</x:v>
      </x:c>
      <x:c r="E8" s="28" t="str">
        <x:v>Use only if required</x:v>
      </x:c>
      <x:c r="F8" s="28" t="str"/>
      <x:c r="G8" s="28" t="str">
        <x:v>Not Started</x:v>
      </x:c>
      <x:c r="H8" s="28" t="str">
        <x:v>DEV</x:v>
      </x:c>
      <x:c r="I8" s="28" t="str"/>
      <x:c r="J8" s="28" t="str"/>
    </x:row>
  </x:sheetData>
  <x:mergeCells>
    <x:mergeCell ref="A1:J1"/>
    <x:mergeCell ref="A2:J2"/>
  </x:mergeCells>
  <x:dataValidations count="1">
    <x:dataValidation type="list" sqref="G5:G8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32e9b08a834f6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48" hidden="0" customWidth="1"/>
    <x:col min="4" max="4" width="20" hidden="0" customWidth="1"/>
    <x:col min="5" max="5" width="14" hidden="0" customWidth="1"/>
    <x:col min="6" max="6" width="14" hidden="0" customWidth="1"/>
    <x:col min="7" max="7" width="34" hidden="0" customWidth="1"/>
    <x:col min="8" max="8" width="36" hidden="0" customWidth="1"/>
  </x:cols>
  <x:sheetData>
    <x:row r="1" ht="28" customHeight="1">
      <x:c r="A1" s="6" t="str">
        <x:v>Phase 5 Validation Checklist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Gate checks that must pass before the next major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Validation item</x:v>
      </x:c>
      <x:c r="C4" s="51" t="str">
        <x:v>Expected evidence</x:v>
      </x:c>
      <x:c r="D4" s="51" t="str">
        <x:v>Owner</x:v>
      </x:c>
      <x:c r="E4" s="51" t="str">
        <x:v>Criticality</x:v>
      </x:c>
      <x:c r="F4" s="51" t="str">
        <x:v>Passed?</x:v>
      </x:c>
      <x:c r="G4" s="51" t="str">
        <x:v>Evidence / link</x:v>
      </x:c>
      <x:c r="H4" s="51" t="str">
        <x:v>Notes</x:v>
      </x:c>
    </x:row>
    <x:row r="5">
      <x:c r="A5" s="28" t="str">
        <x:v>VAL-5.1</x:v>
      </x:c>
      <x:c r="B5" s="28" t="str">
        <x:v>Agent entitlement and prerequisites are confirmed or logged</x:v>
      </x:c>
      <x:c r="C5" s="28" t="str">
        <x:v>Screenshot, record URL, export file, test result, or decision log entry</x:v>
      </x:c>
      <x:c r="D5" s="28" t="str"/>
      <x:c r="E5" s="28" t="str">
        <x:v>High</x:v>
      </x:c>
      <x:c r="F5" s="28" t="str">
        <x:v>No</x:v>
      </x:c>
      <x:c r="G5" s="28" t="str"/>
      <x:c r="H5" s="28" t="str"/>
    </x:row>
    <x:row r="6">
      <x:c r="A6" s="28" t="str">
        <x:v>VAL-5.2</x:v>
      </x:c>
      <x:c r="B6" s="28" t="str">
        <x:v>Research-only/restricted mode decision is documented</x:v>
      </x:c>
      <x:c r="C6" s="28" t="str">
        <x:v>Screenshot, record URL, export file, test result, or decision log entry</x:v>
      </x:c>
      <x:c r="D6" s="28" t="str"/>
      <x:c r="E6" s="28" t="str">
        <x:v>High</x:v>
      </x:c>
      <x:c r="F6" s="28" t="str">
        <x:v>No</x:v>
      </x:c>
      <x:c r="G6" s="28" t="str"/>
      <x:c r="H6" s="28" t="str"/>
    </x:row>
    <x:row r="7">
      <x:c r="A7" s="28" t="str">
        <x:v>VAL-5.3</x:v>
      </x:c>
      <x:c r="B7" s="28" t="str">
        <x:v>Agent prompts/profile include Customer Insights and SAP boundaries</x:v>
      </x:c>
      <x:c r="C7" s="28" t="str">
        <x:v>Screenshot, record URL, export file, test result, or decision log entry</x:v>
      </x:c>
      <x:c r="D7" s="28" t="str"/>
      <x:c r="E7" s="28" t="str">
        <x:v>High</x:v>
      </x:c>
      <x:c r="F7" s="28" t="str">
        <x:v>No</x:v>
      </x:c>
      <x:c r="G7" s="28" t="str"/>
      <x:c r="H7" s="28" t="str"/>
    </x:row>
    <x:row r="8">
      <x:c r="A8" s="28" t="str">
        <x:v>VAL-5.4</x:v>
      </x:c>
      <x:c r="B8" s="28" t="str">
        <x:v>No ERP action occurs from the agent</x:v>
      </x:c>
      <x:c r="C8" s="28" t="str">
        <x:v>Screenshot, record URL, export file, test result, or decision log entry</x:v>
      </x:c>
      <x:c r="D8" s="28" t="str"/>
      <x:c r="E8" s="28" t="str">
        <x:v>High</x:v>
      </x:c>
      <x:c r="F8" s="28" t="str">
        <x:v>No</x:v>
      </x:c>
      <x:c r="G8" s="28" t="str"/>
      <x:c r="H8" s="28" t="str"/>
    </x:row>
    <x:row r="9">
      <x:c r="A9" s="28" t="str">
        <x:v>VAL-5.5</x:v>
      </x:c>
      <x:c r="B9" s="28" t="str">
        <x:v>No customer lifecycle communication is sent outside Customer Insights</x:v>
      </x:c>
      <x:c r="C9" s="28" t="str">
        <x:v>Screenshot, record URL, export file, test result, or decision log entry</x:v>
      </x:c>
      <x:c r="D9" s="28" t="str"/>
      <x:c r="E9" s="28" t="str">
        <x:v>High</x:v>
      </x:c>
      <x:c r="F9" s="28" t="str">
        <x:v>No</x:v>
      </x:c>
      <x:c r="G9" s="28" t="str"/>
      <x:c r="H9" s="28" t="str"/>
    </x:row>
    <x:row r="10">
      <x:c r="A10" s="28" t="str">
        <x:v>VAL-5.6</x:v>
      </x:c>
      <x:c r="B10" s="28" t="str">
        <x:v>Pilot lead/opportunity outputs are reviewed and logged</x:v>
      </x:c>
      <x:c r="C10" s="28" t="str">
        <x:v>Screenshot, record URL, export file, test result, or decision log entry</x:v>
      </x:c>
      <x:c r="D10" s="28" t="str"/>
      <x:c r="E10" s="28" t="str">
        <x:v>High</x:v>
      </x:c>
      <x:c r="F10" s="28" t="str">
        <x:v>No</x:v>
      </x:c>
      <x:c r="G10" s="28" t="str"/>
      <x:c r="H10" s="28" t="str"/>
    </x:row>
    <x:row r="11">
      <x:c r="A11" s="28" t="str">
        <x:v>VAL-5.7</x:v>
      </x:c>
      <x:c r="B11" s="28" t="str">
        <x:v>Output normalization to Dataverse is documented</x:v>
      </x:c>
      <x:c r="C11" s="28" t="str">
        <x:v>Screenshot, record URL, export file, test result, or decision log entry</x:v>
      </x:c>
      <x:c r="D11" s="28" t="str"/>
      <x:c r="E11" s="28" t="str">
        <x:v>High</x:v>
      </x:c>
      <x:c r="F11" s="28" t="str">
        <x:v>No</x:v>
      </x:c>
      <x:c r="G11" s="28" t="str"/>
      <x:c r="H11" s="28" t="str"/>
    </x:row>
  </x:sheetData>
  <x:mergeCells>
    <x:mergeCell ref="A1:J1"/>
    <x:mergeCell ref="A2:J2"/>
  </x:mergeCells>
  <x:dataValidations count="2">
    <x:dataValidation type="list" sqref="F5:F11">
      <x:formula1>"Yes,No,Partial,N/A"</x:formula1>
    </x:dataValidation>
    <x:dataValidation type="list" sqref="E5:E1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b38ebbdfbf42b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42" hidden="0" customWidth="1"/>
    <x:col min="6" max="6" width="44" hidden="0" customWidth="1"/>
    <x:col min="7" max="7" width="20" hidden="0" customWidth="1"/>
    <x:col min="8" max="8" width="14" hidden="0" customWidth="1"/>
    <x:col min="9" max="9" width="26" hidden="0" customWidth="1"/>
    <x:col min="10" max="10" width="36" hidden="0" customWidth="1"/>
  </x:cols>
  <x:sheetData>
    <x:row r="1" ht="28" customHeight="1">
      <x:c r="A1" s="6" t="str">
        <x:v>Phase 5 Decision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Architecture, MVP shortcut, security, ALM, data, integration and product decisions.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Decision ID</x:v>
      </x:c>
      <x:c r="B4" s="51" t="str">
        <x:v>Date</x:v>
      </x:c>
      <x:c r="C4" s="51" t="str">
        <x:v>Decision area</x:v>
      </x:c>
      <x:c r="D4" s="51" t="str">
        <x:v>Decision</x:v>
      </x:c>
      <x:c r="E4" s="51" t="str">
        <x:v>Options considered</x:v>
      </x:c>
      <x:c r="F4" s="51" t="str">
        <x:v>Rationale</x:v>
      </x:c>
      <x:c r="G4" s="51" t="str">
        <x:v>Owner</x:v>
      </x:c>
      <x:c r="H4" s="51" t="str">
        <x:v>Status</x:v>
      </x:c>
      <x:c r="I4" s="51" t="str">
        <x:v>Impacted phase/component</x:v>
      </x:c>
      <x:c r="J4" s="51" t="str">
        <x:v>Follow-up action</x:v>
      </x:c>
    </x:row>
    <x:row r="5">
      <x:c r="A5" s="28" t="str">
        <x:v>DEC-5.001</x:v>
      </x:c>
      <x:c r="B5" s="28" t="n">
        <x:v>46161</x:v>
      </x:c>
      <x:c r="C5" s="28" t="str">
        <x:v>Scope</x:v>
      </x:c>
      <x:c r="D5" s="28" t="str">
        <x:v>Use this workbook as the control file for Phase 5.</x:v>
      </x:c>
      <x:c r="E5" s="28" t="str">
        <x:v>Use ad hoc notes; use one master tracker; use phase workbook</x:v>
      </x:c>
      <x:c r="F5" s="28" t="str">
        <x:v>Separate phase workbook gives clear gate control and upgrade path.</x:v>
      </x:c>
      <x:c r="G5" s="28" t="str">
        <x:v>Solution Architect</x:v>
      </x:c>
      <x:c r="H5" s="28" t="str">
        <x:v>Approved</x:v>
      </x:c>
      <x:c r="I5" s="28" t="str">
        <x:v>Phase 5</x:v>
      </x:c>
      <x:c r="J5" s="28" t="str"/>
    </x:row>
    <x:row r="6">
      <x:c r="A6" s="28" t="str">
        <x:v>DEC-5.002</x:v>
      </x:c>
      <x:c r="B6" s="28" t="n">
        <x:v>46161</x:v>
      </x:c>
      <x:c r="C6" s="28" t="str">
        <x:v>MVP adaptation</x:v>
      </x:c>
      <x:c r="D6" s="28" t="str">
        <x:v>All demo shortcuts must be recorded in Production Gap Log.</x:v>
      </x:c>
      <x:c r="E6" s="28" t="str">
        <x:v>Ignore shortcuts; document later; record immediately</x:v>
      </x:c>
      <x:c r="F6" s="28" t="str">
        <x:v>Prevents MVP shortcuts becoming hidden production risks.</x:v>
      </x:c>
      <x:c r="G6" s="28" t="str">
        <x:v>Project Manager</x:v>
      </x:c>
      <x:c r="H6" s="28" t="str">
        <x:v>Approved</x:v>
      </x:c>
      <x:c r="I6" s="28" t="str">
        <x:v>Phase 5</x:v>
      </x:c>
      <x:c r="J6" s="28" t="str"/>
    </x:row>
  </x:sheetData>
  <x:mergeCells>
    <x:mergeCell ref="A1:J1"/>
    <x:mergeCell ref="A2:J2"/>
  </x:mergeCells>
  <x:dataValidations count="1">
    <x:dataValidation type="list" sqref="H5:H300">
      <x:formula1>"Proposed,Approved,Rejected,Superseded"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4c2f4a82384d9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34" hidden="0" customWidth="1"/>
    <x:col min="6" max="6" width="16" hidden="0" customWidth="1"/>
    <x:col min="7" max="7" width="44" hidden="0" customWidth="1"/>
    <x:col min="8" max="8" width="14" hidden="0" customWidth="1"/>
    <x:col min="9" max="9" width="18" hidden="0" customWidth="1"/>
    <x:col min="10" max="10" width="14" hidden="0" customWidth="1"/>
    <x:col min="11" max="11" width="36" hidden="0" customWidth="1"/>
  </x:cols>
  <x:sheetData>
    <x:row r="1" ht="28" customHeight="1">
      <x:c r="A1" s="6" t="str">
        <x:v>Phase 5 Risk &amp; Issue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delivery risks, blockers, mitigations, and resolution evidence.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Type</x:v>
      </x:c>
      <x:c r="C4" s="51" t="str">
        <x:v>Area</x:v>
      </x:c>
      <x:c r="D4" s="51" t="str">
        <x:v>Risk / issue</x:v>
      </x:c>
      <x:c r="E4" s="51" t="str">
        <x:v>Impact</x:v>
      </x:c>
      <x:c r="F4" s="51" t="str">
        <x:v>Probability</x:v>
      </x:c>
      <x:c r="G4" s="51" t="str">
        <x:v>Mitigation / action</x:v>
      </x:c>
      <x:c r="H4" s="51" t="str">
        <x:v>Status</x:v>
      </x:c>
      <x:c r="I4" s="51" t="str">
        <x:v>Owner</x:v>
      </x:c>
      <x:c r="J4" s="51" t="str">
        <x:v>Due date</x:v>
      </x:c>
      <x:c r="K4" s="51" t="str">
        <x:v>Evidence / notes</x:v>
      </x:c>
    </x:row>
    <x:row r="5">
      <x:c r="A5" s="28" t="str">
        <x:v>RISK-5.001</x:v>
      </x:c>
      <x:c r="B5" s="28" t="str">
        <x:v>Risk</x:v>
      </x:c>
      <x:c r="C5" s="28" t="str">
        <x:v>MVP constraints</x:v>
      </x:c>
      <x:c r="D5" s="28" t="str">
        <x:v>Trial/free-tier limitations may block enterprise components.</x:v>
      </x:c>
      <x:c r="E5" s="28" t="str">
        <x:v>May require mocks/manual validation</x:v>
      </x:c>
      <x:c r="F5" s="28" t="str">
        <x:v>Medium</x:v>
      </x:c>
      <x:c r="G5" s="28" t="str">
        <x:v>Document blocker and production gap; preserve target architecture boundary.</x:v>
      </x:c>
      <x:c r="H5" s="28" t="str">
        <x:v>Open</x:v>
      </x:c>
      <x:c r="I5" s="28" t="str"/>
      <x:c r="J5" s="28" t="str"/>
      <x:c r="K5" s="28" t="str"/>
    </x:row>
    <x:row r="6">
      <x:c r="A6" s="28" t="str">
        <x:v>RISK-5.002</x:v>
      </x:c>
      <x:c r="B6" s="28" t="str">
        <x:v>Risk</x:v>
      </x:c>
      <x:c r="C6" s="28" t="str">
        <x:v>ALM</x:v>
      </x:c>
      <x:c r="D6" s="28" t="str">
        <x:v>Single DEV environment can hide promotion issues.</x:v>
      </x:c>
      <x:c r="E6" s="28" t="str">
        <x:v>Production upgrade risk</x:v>
      </x:c>
      <x:c r="F6" s="28" t="str">
        <x:v>Medium</x:v>
      </x:c>
      <x:c r="G6" s="28" t="str">
        <x:v>Export solution backups; document future environment runway.</x:v>
      </x:c>
      <x:c r="H6" s="28" t="str">
        <x:v>Open</x:v>
      </x:c>
      <x:c r="I6" s="28" t="str"/>
      <x:c r="J6" s="28" t="str"/>
      <x:c r="K6" s="28" t="str"/>
    </x:row>
    <x:row r="7">
      <x:c r="A7" s="28" t="str">
        <x:v>RISK-5.003</x:v>
      </x:c>
      <x:c r="B7" s="28" t="str">
        <x:v>Risk</x:v>
      </x:c>
      <x:c r="C7" s="28" t="str">
        <x:v>Architecture boundary</x:v>
      </x:c>
      <x:c r="D7" s="28" t="str">
        <x:v>Sales agents must not post to ERP, execute workflow, bypass Foundry policy, or send lifecycle customer communications outside Customer Insights.</x:v>
      </x:c>
      <x:c r="E7" s="28" t="str">
        <x:v>Supportability and governance risk</x:v>
      </x:c>
      <x:c r="F7" s="28" t="str">
        <x:v>Low</x:v>
      </x:c>
      <x:c r="G7" s="28" t="str">
        <x:v>Use validation checklist and phase gate before progressing.</x:v>
      </x:c>
      <x:c r="H7" s="28" t="str">
        <x:v>Open</x:v>
      </x:c>
      <x:c r="I7" s="28" t="str"/>
      <x:c r="J7" s="28" t="str"/>
      <x:c r="K7" s="28" t="str"/>
    </x:row>
  </x:sheetData>
  <x:mergeCells>
    <x:mergeCell ref="A1:J1"/>
    <x:mergeCell ref="A2:J2"/>
  </x:mergeCells>
  <x:dataValidations count="3">
    <x:dataValidation type="list" sqref="B5:B300">
      <x:formula1>"Risk,Issue,Dependency,Assumption"</x:formula1>
    </x:dataValidation>
    <x:dataValidation type="list" sqref="H5:H300">
      <x:formula1>"Open,In Review,Resolved,Closed"</x:formula1>
    </x:dataValidation>
    <x:dataValidation type="list" sqref="F5:F30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11dee8e414404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6" hidden="0" customWidth="1"/>
    <x:col min="6" max="6" width="20" hidden="0" customWidth="1"/>
    <x:col min="7" max="7" width="14" hidden="0" customWidth="1"/>
    <x:col min="8" max="8" width="18" hidden="0" customWidth="1"/>
    <x:col min="9" max="9" width="24" hidden="0" customWidth="1"/>
  </x:cols>
  <x:sheetData>
    <x:row r="1" ht="28" customHeight="1">
      <x:c r="A1" s="6" t="str">
        <x:v>Phase 5 Production Gap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Every MVP simplification must have a production risk and upgrade path.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Area</x:v>
      </x:c>
      <x:c r="B4" s="51" t="str">
        <x:v>MVP decision</x:v>
      </x:c>
      <x:c r="C4" s="51" t="str">
        <x:v>Production gap</x:v>
      </x:c>
      <x:c r="D4" s="51" t="str">
        <x:v>Risk / limitation</x:v>
      </x:c>
      <x:c r="E4" s="51" t="str">
        <x:v>Future production action</x:v>
      </x:c>
      <x:c r="F4" s="51" t="str">
        <x:v>Owner</x:v>
      </x:c>
      <x:c r="G4" s="51" t="str">
        <x:v>Status</x:v>
      </x:c>
      <x:c r="H4" s="51" t="str">
        <x:v>Target phase/date</x:v>
      </x:c>
      <x:c r="I4" s="51" t="str">
        <x:v>Decision reference</x:v>
      </x:c>
    </x:row>
    <x:row r="5">
      <x:c r="A5" s="28" t="str">
        <x:v>Agent entitlement</x:v>
      </x:c>
      <x:c r="B5" s="28" t="str">
        <x:v>Simulate outputs if unavailable</x:v>
      </x:c>
      <x:c r="C5" s="28" t="str">
        <x:v>No native agent execution</x:v>
      </x:c>
      <x:c r="D5" s="28" t="str">
        <x:v>MVP-only limitation; assess before production</x:v>
      </x:c>
      <x:c r="E5" s="28" t="str">
        <x:v>Enable Copilot/Sales AI entitlement before production</x:v>
      </x:c>
      <x:c r="F5" s="28" t="str"/>
      <x:c r="G5" s="28" t="str">
        <x:v>Open</x:v>
      </x:c>
      <x:c r="H5" s="28" t="str"/>
      <x:c r="I5" s="28" t="str"/>
    </x:row>
    <x:row r="6">
      <x:c r="A6" s="28" t="str">
        <x:v>Research and engage</x:v>
      </x:c>
      <x:c r="B6" s="28" t="str">
        <x:v>Start research-only</x:v>
      </x:c>
      <x:c r="C6" s="28" t="str">
        <x:v>No outbound agent engagement</x:v>
      </x:c>
      <x:c r="D6" s="28" t="str">
        <x:v>MVP-only limitation; assess before production</x:v>
      </x:c>
      <x:c r="E6" s="28" t="str">
        <x:v>Compliance review before enabling engagement</x:v>
      </x:c>
      <x:c r="F6" s="28" t="str"/>
      <x:c r="G6" s="28" t="str">
        <x:v>Open</x:v>
      </x:c>
      <x:c r="H6" s="28" t="str"/>
      <x:c r="I6" s="28" t="str"/>
    </x:row>
    <x:row r="7">
      <x:c r="A7" s="28" t="str">
        <x:v>Output API contract</x:v>
      </x:c>
      <x:c r="B7" s="28" t="str">
        <x:v>Normalize visible outputs manually if needed</x:v>
      </x:c>
      <x:c r="C7" s="28" t="str">
        <x:v>No universal API pattern</x:v>
      </x:c>
      <x:c r="D7" s="28" t="str">
        <x:v>MVP-only limitation; assess before production</x:v>
      </x:c>
      <x:c r="E7" s="28" t="str">
        <x:v>Map tenant-specific outputs during implementation</x:v>
      </x:c>
      <x:c r="F7" s="28" t="str"/>
      <x:c r="G7" s="28" t="str">
        <x:v>Open</x:v>
      </x:c>
      <x:c r="H7" s="28" t="str"/>
      <x:c r="I7" s="28" t="str"/>
    </x:row>
  </x:sheetData>
  <x:mergeCells>
    <x:mergeCell ref="A1:J1"/>
    <x:mergeCell ref="A2:J2"/>
  </x:mergeCells>
  <x:dataValidations count="1">
    <x:dataValidation type="list" sqref="G5:G7">
      <x:formula1>"Open,Accepted,Mitigated,Closed"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0ce9e0030a449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42" hidden="0" customWidth="1"/>
    <x:col min="5" max="5" width="42" hidden="0" customWidth="1"/>
    <x:col min="6" max="6" width="20" hidden="0" customWidth="1"/>
    <x:col min="7" max="7" width="16" hidden="0" customWidth="1"/>
    <x:col min="8" max="8" width="36" hidden="0" customWidth="1"/>
  </x:cols>
  <x:sheetData>
    <x:row r="1" ht="28" customHeight="1">
      <x:c r="A1" s="6" t="str">
        <x:v>Phase 5 Security &amp; Controls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Security, compliance, data, integration, AI and ALM control checks.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Control area</x:v>
      </x:c>
      <x:c r="B4" s="51" t="str">
        <x:v>Control requirement</x:v>
      </x:c>
      <x:c r="C4" s="51" t="str">
        <x:v>Applies in this phase?</x:v>
      </x:c>
      <x:c r="D4" s="51" t="str">
        <x:v>MVP implementation</x:v>
      </x:c>
      <x:c r="E4" s="51" t="str">
        <x:v>Production expectation</x:v>
      </x:c>
      <x:c r="F4" s="51" t="str">
        <x:v>Owner</x:v>
      </x:c>
      <x:c r="G4" s="51" t="str">
        <x:v>Status</x:v>
      </x:c>
      <x:c r="H4" s="51" t="str">
        <x:v>Evidence / notes</x:v>
      </x:c>
    </x:row>
    <x:row r="5">
      <x:c r="A5" s="28" t="str">
        <x:v>ALM</x:v>
      </x:c>
      <x:c r="B5" s="28" t="str">
        <x:v>All changes are solution-aware; no default solution build</x:v>
      </x:c>
      <x:c r="C5" s="28" t="str">
        <x:v>Yes</x:v>
      </x:c>
      <x:c r="D5" s="28" t="str">
        <x:v>Use named ASO solution(s)</x:v>
      </x:c>
      <x:c r="E5" s="28" t="str">
        <x:v>Managed solution promotion with pipeline</x:v>
      </x:c>
      <x:c r="F5" s="28" t="str"/>
      <x:c r="G5" s="28" t="str">
        <x:v>Not Started</x:v>
      </x:c>
      <x:c r="H5" s="28" t="str"/>
    </x:row>
    <x:row r="6">
      <x:c r="A6" s="28" t="str">
        <x:v>Security</x:v>
      </x:c>
      <x:c r="B6" s="28" t="str">
        <x:v>Least privilege and admin access restrictions</x:v>
      </x:c>
      <x:c r="C6" s="28" t="str">
        <x:v>Yes</x:v>
      </x:c>
      <x:c r="D6" s="28" t="str">
        <x:v>Document roles; limit admin access</x:v>
      </x:c>
      <x:c r="E6" s="28" t="str">
        <x:v>RBAC/FLS fully enforced</x:v>
      </x:c>
      <x:c r="F6" s="28" t="str"/>
      <x:c r="G6" s="28" t="str">
        <x:v>Not Started</x:v>
      </x:c>
      <x:c r="H6" s="28" t="str"/>
    </x:row>
    <x:row r="7">
      <x:c r="A7" s="28" t="str">
        <x:v>Data integrity</x:v>
      </x:c>
      <x:c r="B7" s="28" t="str">
        <x:v>External IDs, keys, dedupe where applicable</x:v>
      </x:c>
      <x:c r="C7" s="28" t="str">
        <x:v>Conditional</x:v>
      </x:c>
      <x:c r="D7" s="28" t="str">
        <x:v>Create or document controls</x:v>
      </x:c>
      <x:c r="E7" s="28" t="str">
        <x:v>Automated enforcement</x:v>
      </x:c>
      <x:c r="F7" s="28" t="str"/>
      <x:c r="G7" s="28" t="str">
        <x:v>Not Started</x:v>
      </x:c>
      <x:c r="H7" s="28" t="str"/>
    </x:row>
    <x:row r="8">
      <x:c r="A8" s="28" t="str">
        <x:v>AI governance</x:v>
      </x:c>
      <x:c r="B8" s="28" t="str">
        <x:v>AI output advisory until validated by governed orchestration</x:v>
      </x:c>
      <x:c r="C8" s="28" t="str">
        <x:v>Conditional</x:v>
      </x:c>
      <x:c r="D8" s="28" t="str">
        <x:v>Use review fields and decision log</x:v>
      </x:c>
      <x:c r="E8" s="28" t="str">
        <x:v>Foundry policy/evals</x:v>
      </x:c>
      <x:c r="F8" s="28" t="str"/>
      <x:c r="G8" s="28" t="str">
        <x:v>Not Started</x:v>
      </x:c>
      <x:c r="H8" s="28" t="str"/>
    </x:row>
    <x:row r="9">
      <x:c r="A9" s="28" t="str">
        <x:v>Communication governance</x:v>
      </x:c>
      <x:c r="B9" s="28" t="str">
        <x:v>Customer Insights is the only lifecycle outbound channel</x:v>
      </x:c>
      <x:c r="C9" s="28" t="str">
        <x:v>Conditional</x:v>
      </x:c>
      <x:c r="D9" s="28" t="str">
        <x:v>Do not send outside CIJ</x:v>
      </x:c>
      <x:c r="E9" s="28" t="str">
        <x:v>Compliance profile, consent, audit</x:v>
      </x:c>
      <x:c r="F9" s="28" t="str"/>
      <x:c r="G9" s="28" t="str">
        <x:v>Not Started</x:v>
      </x:c>
      <x:c r="H9" s="28" t="str"/>
    </x:row>
    <x:row r="10">
      <x:c r="A10" s="28" t="str">
        <x:v>SAP boundary</x:v>
      </x:c>
      <x:c r="B10" s="28" t="str">
        <x:v>SAP only through APIM + Azure Functions</x:v>
      </x:c>
      <x:c r="C10" s="28" t="str">
        <x:v>Conditional</x:v>
      </x:c>
      <x:c r="D10" s="28" t="str">
        <x:v>Mock or contract-only where unavailable</x:v>
      </x:c>
      <x:c r="E10" s="28" t="str">
        <x:v>APIM/JWT/idempotency/telemetry</x:v>
      </x:c>
      <x:c r="F10" s="28" t="str"/>
      <x:c r="G10" s="28" t="str">
        <x:v>Not Started</x:v>
      </x:c>
      <x:c r="H10" s="28" t="str"/>
    </x:row>
    <x:row r="11">
      <x:c r="A11" s="28" t="str">
        <x:v>Secrets</x:v>
      </x:c>
      <x:c r="B11" s="28" t="str">
        <x:v>No secrets in workbook, flows, code or prompts</x:v>
      </x:c>
      <x:c r="C11" s="28" t="str">
        <x:v>Yes</x:v>
      </x:c>
      <x:c r="D11" s="28" t="str">
        <x:v>Use placeholders</x:v>
      </x:c>
      <x:c r="E11" s="28" t="str">
        <x:v>Key Vault and managed identity</x:v>
      </x:c>
      <x:c r="F11" s="28" t="str"/>
      <x:c r="G11" s="28" t="str">
        <x:v>Not Started</x:v>
      </x:c>
      <x:c r="H11" s="28" t="str"/>
    </x:row>
    <x:row r="12">
      <x:c r="A12" s="28" t="str">
        <x:v>Observability</x:v>
      </x:c>
      <x:c r="B12" s="28" t="str">
        <x:v>Correlation IDs and run logging</x:v>
      </x:c>
      <x:c r="C12" s="28" t="str">
        <x:v>Conditional</x:v>
      </x:c>
      <x:c r="D12" s="28" t="str">
        <x:v>Use logs/registers</x:v>
      </x:c>
      <x:c r="E12" s="28" t="str">
        <x:v>App Insights + Dataverse dashboards</x:v>
      </x:c>
      <x:c r="F12" s="28" t="str"/>
      <x:c r="G12" s="28" t="str">
        <x:v>Not Started</x:v>
      </x:c>
      <x:c r="H12" s="28" t="str"/>
    </x:row>
  </x:sheetData>
  <x:mergeCells>
    <x:mergeCell ref="A1:J1"/>
    <x:mergeCell ref="A2:J2"/>
  </x:mergeCells>
  <x:dataValidations count="2">
    <x:dataValidation type="list" sqref="C5:C300">
      <x:formula1>"Yes,No,Partial,N/A"</x:formula1>
    </x:dataValidation>
    <x:dataValidation type="list" sqref="G5:G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2a955351244d5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42" hidden="0" customWidth="1"/>
    <x:col min="5" max="5" width="22" hidden="0" customWidth="1"/>
    <x:col min="6" max="6" width="16" hidden="0" customWidth="1"/>
    <x:col min="7" max="7" width="14" hidden="0" customWidth="1"/>
    <x:col min="8" max="8" width="20" hidden="0" customWidth="1"/>
    <x:col min="9" max="9" width="34" hidden="0" customWidth="1"/>
    <x:col min="10" max="10" width="18" hidden="0" customWidth="1"/>
    <x:col min="11" max="11" width="38" hidden="0" customWidth="1"/>
  </x:cols>
  <x:sheetData>
    <x:row r="1" ht="28" customHeight="1">
      <x:c r="A1" s="6" t="str">
        <x:v>Phase 5 ALM &amp; Release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solution exports, versioning, deployment evidence and rollback notes.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Solution/component</x:v>
      </x:c>
      <x:c r="C4" s="51" t="str">
        <x:v>Version</x:v>
      </x:c>
      <x:c r="D4" s="51" t="str">
        <x:v>Change summary</x:v>
      </x:c>
      <x:c r="E4" s="51" t="str">
        <x:v>Export/deploy type</x:v>
      </x:c>
      <x:c r="F4" s="51" t="str">
        <x:v>Environment</x:v>
      </x:c>
      <x:c r="G4" s="51" t="str">
        <x:v>Date</x:v>
      </x:c>
      <x:c r="H4" s="51" t="str">
        <x:v>Owner</x:v>
      </x:c>
      <x:c r="I4" s="51" t="str">
        <x:v>File/link</x:v>
      </x:c>
      <x:c r="J4" s="51" t="str">
        <x:v>Validation status</x:v>
      </x:c>
      <x:c r="K4" s="51" t="str">
        <x:v>Rollback notes</x:v>
      </x:c>
    </x:row>
    <x:row r="5">
      <x:c r="A5" s="28" t="str">
        <x:v>ALM-5.001</x:v>
      </x:c>
      <x:c r="B5" s="28" t="str">
        <x:v>Dynamics 365 Sales / Sales Hub / ASO.Core</x:v>
      </x:c>
      <x:c r="C5" s="28" t="str">
        <x:v>0.1.0</x:v>
      </x:c>
      <x:c r="D5" s="28" t="str">
        <x:v>Initial Phase 5 setup</x:v>
      </x:c>
      <x:c r="E5" s="28" t="str">
        <x:v>Manual export backup</x:v>
      </x:c>
      <x:c r="F5" s="28" t="str">
        <x:v>DEV</x:v>
      </x:c>
      <x:c r="G5" s="28" t="str"/>
      <x:c r="H5" s="28" t="str"/>
      <x:c r="I5" s="28" t="str"/>
      <x:c r="J5" s="28" t="str">
        <x:v>Not Started</x:v>
      </x:c>
      <x:c r="K5" s="28" t="str"/>
    </x:row>
  </x:sheetData>
  <x:mergeCells>
    <x:mergeCell ref="A1:J1"/>
    <x:mergeCell ref="A2:J2"/>
  </x:mergeCells>
  <x:dataValidations count="1">
    <x:dataValidation type="list" sqref="J5:J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6c947506d8459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34" hidden="0" customWidth="1"/>
    <x:col min="5" max="5" width="20" hidden="0" customWidth="1"/>
    <x:col min="6" max="6" width="20" hidden="0" customWidth="1"/>
    <x:col min="7" max="7" width="24" hidden="0" customWidth="1"/>
    <x:col min="8" max="8" width="16" hidden="0" customWidth="1"/>
    <x:col min="9" max="9" width="16" hidden="0" customWidth="1"/>
    <x:col min="10" max="10" width="38" hidden="0" customWidth="1"/>
  </x:cols>
  <x:sheetData>
    <x:row r="1" ht="28" customHeight="1">
      <x:c r="A1" s="6" t="str">
        <x:v>Phase 5 Test Data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Synthetic records and test users used during MVP/demo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Record type</x:v>
      </x:c>
      <x:c r="C4" s="51" t="str">
        <x:v>Record name</x:v>
      </x:c>
      <x:c r="D4" s="51" t="str">
        <x:v>Purpose</x:v>
      </x:c>
      <x:c r="E4" s="51" t="str">
        <x:v>Created in environment</x:v>
      </x:c>
      <x:c r="F4" s="51" t="str">
        <x:v>Owner</x:v>
      </x:c>
      <x:c r="G4" s="51" t="str">
        <x:v>Data classification</x:v>
      </x:c>
      <x:c r="H4" s="51" t="str">
        <x:v>Cleanup needed?</x:v>
      </x:c>
      <x:c r="I4" s="51" t="str">
        <x:v>Status</x:v>
      </x:c>
      <x:c r="J4" s="51" t="str">
        <x:v>Notes</x:v>
      </x:c>
    </x:row>
    <x:row r="5">
      <x:c r="A5" s="28" t="str">
        <x:v>TD-5.001</x:v>
      </x:c>
      <x:c r="B5" s="28" t="str">
        <x:v>Lead/Opportunity/Account/Contact or component-specific test item</x:v>
      </x:c>
      <x:c r="C5" s="28" t="str">
        <x:v>ASO MVP TEST - example</x:v>
      </x:c>
      <x:c r="D5" s="28" t="str">
        <x:v>Phase validation</x:v>
      </x:c>
      <x:c r="E5" s="28" t="str">
        <x:v>DEV</x:v>
      </x:c>
      <x:c r="F5" s="28" t="str"/>
      <x:c r="G5" s="28" t="str">
        <x:v>Synthetic/demo only</x:v>
      </x:c>
      <x:c r="H5" s="28" t="str">
        <x:v>Yes</x:v>
      </x:c>
      <x:c r="I5" s="28" t="str">
        <x:v>Not Started</x:v>
      </x:c>
      <x:c r="J5" s="28" t="str">
        <x:v>Do not use real customer data</x:v>
      </x:c>
    </x:row>
  </x:sheetData>
  <x:mergeCells>
    <x:mergeCell ref="A1:J1"/>
    <x:mergeCell ref="A2:J2"/>
  </x:mergeCells>
  <x:dataValidations count="2">
    <x:dataValidation type="list" sqref="H5:H300">
      <x:formula1>"Yes,No,Partial,N/A"</x:formula1>
    </x:dataValidation>
    <x:dataValidation type="list" sqref="I5:I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4b729e0e414ef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6" t="str">
        <x:v>Phase 5 — Agent Configuration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Agent</x:v>
      </x:c>
      <x:c r="B4" s="51" t="str">
        <x:v>Configuration area</x:v>
      </x:c>
      <x:c r="C4" s="51" t="str">
        <x:v>Value/decision</x:v>
      </x:c>
      <x:c r="D4" s="51" t="str">
        <x:v>Boundary note</x:v>
      </x:c>
      <x:c r="E4" s="51" t="str">
        <x:v>Status</x:v>
      </x:c>
      <x:c r="F4" s="51" t="str">
        <x:v>Owner</x:v>
      </x:c>
      <x:c r="G4" s="51" t="str">
        <x:v>Evidence</x:v>
      </x:c>
    </x:row>
    <x:row r="5">
      <x:c r="A5" s="28" t="str">
        <x:v>ASO - Sales Qualification Agent - DEV</x:v>
      </x:c>
      <x:c r="B5" s="28" t="str">
        <x:v>Mode</x:v>
      </x:c>
      <x:c r="C5" s="28" t="str">
        <x:v>Research-only</x:v>
      </x:c>
      <x:c r="D5" s="28" t="str">
        <x:v>No lifecycle sends outside CIJ</x:v>
      </x:c>
      <x:c r="E5" s="28" t="str">
        <x:v>Not Started</x:v>
      </x:c>
      <x:c r="F5" s="28" t="str"/>
      <x:c r="G5" s="28" t="str"/>
    </x:row>
    <x:row r="6">
      <x:c r="A6" s="28" t="str">
        <x:v>ASO - Sales Opportunity/Deal Close Agent - DEV</x:v>
      </x:c>
      <x:c r="B6" s="28" t="str">
        <x:v>Pilot segment</x:v>
      </x:c>
      <x:c r="C6" s="28" t="str">
        <x:v>ASO Pilot Opportunities</x:v>
      </x:c>
      <x:c r="D6" s="28" t="str">
        <x:v>No ERP action</x:v>
      </x:c>
      <x:c r="E6" s="28" t="str">
        <x:v>Not Started</x:v>
      </x:c>
      <x:c r="F6" s="28" t="str"/>
      <x:c r="G6" s="28" t="str"/>
    </x:row>
  </x:sheetData>
  <x:mergeCells>
    <x:mergeCell ref="A1:J1"/>
    <x:mergeCell ref="A2:J2"/>
  </x:mergeCells>
  <x:dataValidations count="1">
    <x:dataValidation type="list" sqref="E5:E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9" hidden="0" customWidth="1"/>
    <x:col min="6" max="6" width="17" hidden="0" customWidth="1"/>
    <x:col min="7" max="7" width="16" hidden="0" customWidth="1"/>
    <x:col min="8" max="8" width="16" hidden="0" customWidth="1"/>
  </x:cols>
  <x:sheetData>
    <x:row r="1" ht="28" customHeight="1">
      <x:c r="A1" s="6" t="str">
        <x:v>Phase 5 — Pilot Records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Record ID</x:v>
      </x:c>
      <x:c r="B4" s="51" t="str">
        <x:v>Record type</x:v>
      </x:c>
      <x:c r="C4" s="51" t="str">
        <x:v>Record name</x:v>
      </x:c>
      <x:c r="D4" s="51" t="str">
        <x:v>Agent tested</x:v>
      </x:c>
      <x:c r="E4" s="51" t="str">
        <x:v>Expected output</x:v>
      </x:c>
      <x:c r="F4" s="51" t="str">
        <x:v>Actual output</x:v>
      </x:c>
      <x:c r="G4" s="51" t="str">
        <x:v>Status</x:v>
      </x:c>
      <x:c r="H4" s="51" t="str">
        <x:v>Notes</x:v>
      </x:c>
    </x:row>
    <x:row r="5">
      <x:c r="A5" s="28" t="str">
        <x:v>PILOT-001</x:v>
      </x:c>
      <x:c r="B5" s="28" t="str">
        <x:v>Lead</x:v>
      </x:c>
      <x:c r="C5" s="28" t="str">
        <x:v>ASO MVP TEST - Lead 001</x:v>
      </x:c>
      <x:c r="D5" s="28" t="str">
        <x:v>Sales Qualification Agent</x:v>
      </x:c>
      <x:c r="E5" s="28" t="str">
        <x:v>Score/rationale/routing</x:v>
      </x:c>
      <x:c r="F5" s="28" t="str"/>
      <x:c r="G5" s="28" t="str">
        <x:v>Not Started</x:v>
      </x:c>
      <x:c r="H5" s="28" t="str"/>
    </x:row>
    <x:row r="6">
      <x:c r="A6" s="28" t="str">
        <x:v>PILOT-002</x:v>
      </x:c>
      <x:c r="B6" s="28" t="str">
        <x:v>Opportunity</x:v>
      </x:c>
      <x:c r="C6" s="28" t="str">
        <x:v>ASO MVP TEST - Opportunity 001</x:v>
      </x:c>
      <x:c r="D6" s="28" t="str">
        <x:v>Sales Opportunity Agent</x:v>
      </x:c>
      <x:c r="E6" s="28" t="str">
        <x:v>Risk/recommendation</x:v>
      </x:c>
      <x:c r="F6" s="28" t="str"/>
      <x:c r="G6" s="28" t="str">
        <x:v>Not Started</x:v>
      </x:c>
      <x:c r="H6" s="28" t="str"/>
    </x:row>
  </x:sheetData>
  <x:mergeCells>
    <x:mergeCell ref="A1:J1"/>
    <x:mergeCell ref="A2:J2"/>
  </x:mergeCells>
  <x:dataValidations count="1">
    <x:dataValidation type="list" sqref="G5:G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6" t="str">
        <x:v>Phase 5 — Output Mapping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Agent output</x:v>
      </x:c>
      <x:c r="B4" s="51" t="str">
        <x:v>Dataverse target</x:v>
      </x:c>
      <x:c r="C4" s="51" t="str">
        <x:v>Transformation</x:v>
      </x:c>
      <x:c r="D4" s="51" t="str">
        <x:v>Owner</x:v>
      </x:c>
      <x:c r="E4" s="51" t="str">
        <x:v>Status</x:v>
      </x:c>
      <x:c r="F4" s="51" t="str">
        <x:v>Notes</x:v>
      </x:c>
    </x:row>
    <x:row r="5">
      <x:c r="A5" s="28" t="str">
        <x:v>Qualification score</x:v>
      </x:c>
      <x:c r="B5" s="28" t="str">
        <x:v>aso_salesqualificationagentscore</x:v>
      </x:c>
      <x:c r="C5" s="28" t="str">
        <x:v>Whole number</x:v>
      </x:c>
      <x:c r="D5" s="28" t="str"/>
      <x:c r="E5" s="28" t="str">
        <x:v>Not Started</x:v>
      </x:c>
      <x:c r="F5" s="28" t="str"/>
    </x:row>
    <x:row r="6">
      <x:c r="A6" s="28" t="str">
        <x:v>Qualification rationale</x:v>
      </x:c>
      <x:c r="B6" s="28" t="str">
        <x:v>aso_salesqualificationagentrationale</x:v>
      </x:c>
      <x:c r="C6" s="28" t="str">
        <x:v>Multiline text</x:v>
      </x:c>
      <x:c r="D6" s="28" t="str"/>
      <x:c r="E6" s="28" t="str">
        <x:v>Not Started</x:v>
      </x:c>
      <x:c r="F6" s="28" t="str"/>
    </x:row>
  </x:sheetData>
  <x:mergeCells>
    <x:mergeCell ref="A1:J1"/>
    <x:mergeCell ref="A2:J2"/>
  </x:mergeCells>
  <x:dataValidations count="1">
    <x:dataValidation type="list" sqref="E5:E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70" hidden="0" customWidth="1"/>
    <x:col min="3" max="3" width="60" hidden="0" customWidth="1"/>
  </x:cols>
  <x:sheetData>
    <x:row r="1" ht="28" customHeight="1">
      <x:c r="A1" s="6" t="str">
        <x:v>Phase 5 Source References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Source files and guide sections used to populate this workbook.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Source</x:v>
      </x:c>
      <x:c r="B4" s="51" t="str">
        <x:v>Relevant section / use</x:v>
      </x:c>
      <x:c r="C4" s="51" t="str">
        <x:v>Notes</x:v>
      </x:c>
    </x:row>
    <x:row r="5">
      <x:c r="A5" s="28" t="str">
        <x:v>MAIN_Agentic Sales Orchestrator - Build Guide.md</x:v>
      </x:c>
      <x:c r="B5" s="28" t="str">
        <x:v>Delivery phases, target architecture, product boundaries, naming standards, phase runbook content</x:v>
      </x:c>
      <x:c r="C5" s="28" t="str">
        <x:v>Primary enterprise guide for all phases</x:v>
      </x:c>
    </x:row>
    <x:row r="6">
      <x:c r="A6" s="28" t="str">
        <x:v>ASO_Phase2_Dataverse_Schema_Sales_Form_MVP_Guidance.md</x:v>
      </x:c>
      <x:c r="B6" s="28" t="str">
        <x:v>Phase 2 MVP guidance, data dictionary/security/gap tracking and Dataverse schema runbook</x:v>
      </x:c>
      <x:c r="C6" s="28" t="str">
        <x:v>Primary detailed guide for Phase 2 workbook</x:v>
      </x:c>
    </x:row>
    <x:row r="7">
      <x:c r="A7" s="28" t="str">
        <x:v>Pasted text.txt</x:v>
      </x:c>
      <x:c r="B7" s="28" t="str">
        <x:v>MVP adaptation rules, answer structure, documentation expectations, architecture boundary rules</x:v>
      </x:c>
      <x:c r="C7" s="28" t="str">
        <x:v>Used to align workbook controls and phase-gate style</x:v>
      </x:c>
    </x:row>
    <x:row r="8">
      <x:c r="A8" s="28" t="str">
        <x:v>D365_Success_by_Design.docx</x:v>
      </x:c>
      <x:c r="B8" s="28" t="str">
        <x:v>General delivery assurance context</x:v>
      </x:c>
      <x:c r="C8" s="28" t="str">
        <x:v>Referenced as general programme quality context where relevant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b59ee9bfa974fdd"/>
  </x:tableParts>
</x:worksheet>
</file>